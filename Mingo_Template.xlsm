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ian\Desktop\All\Projects\MINGO\"/>
    </mc:Choice>
  </mc:AlternateContent>
  <xr:revisionPtr revIDLastSave="0" documentId="13_ncr:1_{26F7A307-531D-4B5F-A3AE-B3551B307014}" xr6:coauthVersionLast="46" xr6:coauthVersionMax="46" xr10:uidLastSave="{00000000-0000-0000-0000-000000000000}"/>
  <bookViews>
    <workbookView xWindow="-28920" yWindow="-120" windowWidth="29040" windowHeight="15840" tabRatio="882" xr2:uid="{4B7B88D4-B41E-4309-94B9-98B9EB092F3E}"/>
  </bookViews>
  <sheets>
    <sheet name="Playlists" sheetId="1" r:id="rId1"/>
    <sheet name="Control" sheetId="2" r:id="rId2"/>
    <sheet name="Board_Template" sheetId="55" r:id="rId3"/>
    <sheet name="DELETE THESE TABS---&gt;" sheetId="71" r:id="rId4"/>
    <sheet name="Person1" sheetId="72" r:id="rId5"/>
    <sheet name="Person2" sheetId="73" r:id="rId6"/>
    <sheet name="Person3" sheetId="74" r:id="rId7"/>
    <sheet name="Person4" sheetId="75" r:id="rId8"/>
    <sheet name="Person5" sheetId="76" r:id="rId9"/>
    <sheet name="Person6" sheetId="77" r:id="rId10"/>
    <sheet name="Person7" sheetId="78" r:id="rId11"/>
    <sheet name="Person8" sheetId="79" r:id="rId12"/>
    <sheet name="Person9" sheetId="80" r:id="rId13"/>
    <sheet name="Person10" sheetId="81" r:id="rId14"/>
    <sheet name="Person11" sheetId="82" r:id="rId15"/>
    <sheet name="Person12" sheetId="83" r:id="rId16"/>
    <sheet name="Person13" sheetId="84" r:id="rId17"/>
    <sheet name="Person14" sheetId="85" r:id="rId18"/>
    <sheet name="Person15" sheetId="86" r:id="rId19"/>
    <sheet name="Person16" sheetId="87" r:id="rId20"/>
    <sheet name="Person17" sheetId="88" r:id="rId21"/>
    <sheet name="Person18" sheetId="89" r:id="rId22"/>
    <sheet name="Person19" sheetId="90" r:id="rId23"/>
    <sheet name="Person20" sheetId="91" r:id="rId24"/>
    <sheet name="Person21" sheetId="92" r:id="rId25"/>
    <sheet name="Person22" sheetId="93" r:id="rId26"/>
    <sheet name="Person23" sheetId="94" r:id="rId27"/>
    <sheet name="Person24" sheetId="95" r:id="rId28"/>
    <sheet name="Person25" sheetId="96" r:id="rId29"/>
  </sheets>
  <definedNames>
    <definedName name="_xlnm._FilterDatabase" localSheetId="0" hidden="1">Playlists!#REF!</definedName>
    <definedName name="Cards_Per_Round">Control!$L$73</definedName>
    <definedName name="Disney">Playlists!$G$2:$G$64</definedName>
    <definedName name="Disney_Played">Playlists!$H$2:$H$64</definedName>
    <definedName name="indices">Control!$B$5:$AY$29</definedName>
    <definedName name="Num_Players">Control!$L$71</definedName>
    <definedName name="Num_Rounds">Control!$L$72</definedName>
    <definedName name="Players">Control!$B$71:$B$95</definedName>
    <definedName name="Playlists">Control!$P$71:$P$71</definedName>
    <definedName name="Template">Board_Template!$A$1:$E$5</definedName>
    <definedName name="The_80s">Playlists!$D$2:$D$70</definedName>
    <definedName name="The_80s_Played">Playlists!$E$2:$E$70</definedName>
    <definedName name="You">Playlists!$A$2:$A$74</definedName>
    <definedName name="You_Played">Playlists!$B$2:$B$74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3" i="96" l="1"/>
  <c r="D13" i="96"/>
  <c r="C13" i="96"/>
  <c r="B13" i="96"/>
  <c r="A13" i="96"/>
  <c r="E12" i="96"/>
  <c r="D12" i="96"/>
  <c r="C12" i="96"/>
  <c r="B12" i="96"/>
  <c r="A12" i="96"/>
  <c r="E11" i="96"/>
  <c r="D11" i="96"/>
  <c r="C11" i="96"/>
  <c r="B11" i="96"/>
  <c r="A11" i="96"/>
  <c r="E10" i="96"/>
  <c r="D10" i="96"/>
  <c r="C10" i="96"/>
  <c r="B10" i="96"/>
  <c r="A10" i="96"/>
  <c r="E9" i="96"/>
  <c r="D9" i="96"/>
  <c r="C9" i="96"/>
  <c r="B9" i="96"/>
  <c r="A9" i="96"/>
  <c r="E5" i="55"/>
  <c r="D5" i="55"/>
  <c r="C5" i="55"/>
  <c r="B5" i="55"/>
  <c r="A5" i="55"/>
  <c r="E4" i="55"/>
  <c r="D4" i="55"/>
  <c r="C4" i="55"/>
  <c r="B4" i="55"/>
  <c r="A4" i="55"/>
  <c r="E3" i="55"/>
  <c r="D3" i="55"/>
  <c r="C3" i="55"/>
  <c r="B3" i="55"/>
  <c r="A3" i="55"/>
  <c r="E2" i="55"/>
  <c r="D2" i="55"/>
  <c r="C2" i="55"/>
  <c r="B2" i="55"/>
  <c r="A2" i="55"/>
  <c r="E1" i="55"/>
  <c r="D1" i="55"/>
  <c r="C1" i="55"/>
  <c r="B1" i="55"/>
  <c r="A1" i="55"/>
  <c r="E6" i="96"/>
  <c r="D6" i="96"/>
  <c r="C6" i="96"/>
  <c r="B6" i="96"/>
  <c r="A6" i="96"/>
  <c r="E5" i="96"/>
  <c r="D5" i="96"/>
  <c r="C5" i="96"/>
  <c r="B5" i="96"/>
  <c r="A5" i="96"/>
  <c r="E4" i="96"/>
  <c r="D4" i="96"/>
  <c r="C4" i="96"/>
  <c r="B4" i="96"/>
  <c r="A4" i="96"/>
  <c r="E3" i="96"/>
  <c r="D3" i="96"/>
  <c r="C3" i="96"/>
  <c r="B3" i="96"/>
  <c r="A3" i="96"/>
  <c r="E2" i="96"/>
  <c r="D2" i="96"/>
  <c r="C2" i="96"/>
  <c r="B2" i="96"/>
  <c r="A2" i="96"/>
  <c r="E13" i="95"/>
  <c r="D13" i="95"/>
  <c r="C13" i="95"/>
  <c r="B13" i="95"/>
  <c r="A13" i="95"/>
  <c r="E12" i="95"/>
  <c r="D12" i="95"/>
  <c r="C12" i="95"/>
  <c r="B12" i="95"/>
  <c r="A12" i="95"/>
  <c r="E11" i="95"/>
  <c r="D11" i="95"/>
  <c r="C11" i="95"/>
  <c r="B11" i="95"/>
  <c r="A11" i="95"/>
  <c r="E10" i="95"/>
  <c r="D10" i="95"/>
  <c r="C10" i="95"/>
  <c r="B10" i="95"/>
  <c r="A10" i="95"/>
  <c r="E9" i="95"/>
  <c r="D9" i="95"/>
  <c r="C9" i="95"/>
  <c r="B9" i="95"/>
  <c r="A9" i="95"/>
  <c r="E6" i="95"/>
  <c r="D6" i="95"/>
  <c r="C6" i="95"/>
  <c r="B6" i="95"/>
  <c r="A6" i="95"/>
  <c r="E5" i="95"/>
  <c r="D5" i="95"/>
  <c r="C5" i="95"/>
  <c r="B5" i="95"/>
  <c r="A5" i="95"/>
  <c r="E4" i="95"/>
  <c r="D4" i="95"/>
  <c r="C4" i="95"/>
  <c r="B4" i="95"/>
  <c r="A4" i="95"/>
  <c r="E3" i="95"/>
  <c r="D3" i="95"/>
  <c r="C3" i="95"/>
  <c r="B3" i="95"/>
  <c r="A3" i="95"/>
  <c r="E2" i="95"/>
  <c r="D2" i="95"/>
  <c r="C2" i="95"/>
  <c r="B2" i="95"/>
  <c r="A2" i="95"/>
  <c r="E13" i="94"/>
  <c r="D13" i="94"/>
  <c r="C13" i="94"/>
  <c r="B13" i="94"/>
  <c r="A13" i="94"/>
  <c r="E12" i="94"/>
  <c r="D12" i="94"/>
  <c r="C12" i="94"/>
  <c r="B12" i="94"/>
  <c r="A12" i="94"/>
  <c r="E11" i="94"/>
  <c r="D11" i="94"/>
  <c r="C11" i="94"/>
  <c r="B11" i="94"/>
  <c r="A11" i="94"/>
  <c r="E10" i="94"/>
  <c r="D10" i="94"/>
  <c r="C10" i="94"/>
  <c r="B10" i="94"/>
  <c r="A10" i="94"/>
  <c r="E9" i="94"/>
  <c r="D9" i="94"/>
  <c r="C9" i="94"/>
  <c r="B9" i="94"/>
  <c r="A9" i="94"/>
  <c r="E6" i="94"/>
  <c r="D6" i="94"/>
  <c r="C6" i="94"/>
  <c r="B6" i="94"/>
  <c r="A6" i="94"/>
  <c r="E5" i="94"/>
  <c r="D5" i="94"/>
  <c r="C5" i="94"/>
  <c r="B5" i="94"/>
  <c r="A5" i="94"/>
  <c r="E4" i="94"/>
  <c r="D4" i="94"/>
  <c r="C4" i="94"/>
  <c r="B4" i="94"/>
  <c r="A4" i="94"/>
  <c r="E3" i="94"/>
  <c r="D3" i="94"/>
  <c r="C3" i="94"/>
  <c r="B3" i="94"/>
  <c r="A3" i="94"/>
  <c r="E2" i="94"/>
  <c r="D2" i="94"/>
  <c r="C2" i="94"/>
  <c r="B2" i="94"/>
  <c r="A2" i="94"/>
  <c r="E13" i="93"/>
  <c r="D13" i="93"/>
  <c r="C13" i="93"/>
  <c r="B13" i="93"/>
  <c r="A13" i="93"/>
  <c r="E12" i="93"/>
  <c r="D12" i="93"/>
  <c r="C12" i="93"/>
  <c r="B12" i="93"/>
  <c r="A12" i="93"/>
  <c r="E11" i="93"/>
  <c r="D11" i="93"/>
  <c r="C11" i="93"/>
  <c r="B11" i="93"/>
  <c r="A11" i="93"/>
  <c r="E10" i="93"/>
  <c r="D10" i="93"/>
  <c r="C10" i="93"/>
  <c r="B10" i="93"/>
  <c r="A10" i="93"/>
  <c r="E9" i="93"/>
  <c r="D9" i="93"/>
  <c r="C9" i="93"/>
  <c r="B9" i="93"/>
  <c r="A9" i="93"/>
  <c r="E6" i="93"/>
  <c r="D6" i="93"/>
  <c r="C6" i="93"/>
  <c r="B6" i="93"/>
  <c r="A6" i="93"/>
  <c r="E5" i="93"/>
  <c r="D5" i="93"/>
  <c r="C5" i="93"/>
  <c r="B5" i="93"/>
  <c r="A5" i="93"/>
  <c r="E4" i="93"/>
  <c r="D4" i="93"/>
  <c r="C4" i="93"/>
  <c r="B4" i="93"/>
  <c r="A4" i="93"/>
  <c r="E3" i="93"/>
  <c r="D3" i="93"/>
  <c r="C3" i="93"/>
  <c r="B3" i="93"/>
  <c r="A3" i="93"/>
  <c r="E2" i="93"/>
  <c r="D2" i="93"/>
  <c r="C2" i="93"/>
  <c r="B2" i="93"/>
  <c r="A2" i="93"/>
  <c r="E13" i="92"/>
  <c r="D13" i="92"/>
  <c r="C13" i="92"/>
  <c r="B13" i="92"/>
  <c r="A13" i="92"/>
  <c r="E12" i="92"/>
  <c r="D12" i="92"/>
  <c r="C12" i="92"/>
  <c r="B12" i="92"/>
  <c r="A12" i="92"/>
  <c r="E11" i="92"/>
  <c r="D11" i="92"/>
  <c r="C11" i="92"/>
  <c r="B11" i="92"/>
  <c r="A11" i="92"/>
  <c r="E10" i="92"/>
  <c r="D10" i="92"/>
  <c r="C10" i="92"/>
  <c r="B10" i="92"/>
  <c r="A10" i="92"/>
  <c r="E9" i="92"/>
  <c r="D9" i="92"/>
  <c r="C9" i="92"/>
  <c r="B9" i="92"/>
  <c r="A9" i="92"/>
  <c r="E6" i="92"/>
  <c r="D6" i="92"/>
  <c r="C6" i="92"/>
  <c r="B6" i="92"/>
  <c r="A6" i="92"/>
  <c r="E5" i="92"/>
  <c r="D5" i="92"/>
  <c r="C5" i="92"/>
  <c r="B5" i="92"/>
  <c r="A5" i="92"/>
  <c r="E4" i="92"/>
  <c r="D4" i="92"/>
  <c r="C4" i="92"/>
  <c r="B4" i="92"/>
  <c r="A4" i="92"/>
  <c r="E3" i="92"/>
  <c r="D3" i="92"/>
  <c r="C3" i="92"/>
  <c r="B3" i="92"/>
  <c r="A3" i="92"/>
  <c r="E2" i="92"/>
  <c r="D2" i="92"/>
  <c r="C2" i="92"/>
  <c r="B2" i="92"/>
  <c r="A2" i="92"/>
  <c r="E13" i="91"/>
  <c r="D13" i="91"/>
  <c r="C13" i="91"/>
  <c r="B13" i="91"/>
  <c r="A13" i="91"/>
  <c r="E12" i="91"/>
  <c r="D12" i="91"/>
  <c r="C12" i="91"/>
  <c r="B12" i="91"/>
  <c r="A12" i="91"/>
  <c r="E11" i="91"/>
  <c r="D11" i="91"/>
  <c r="C11" i="91"/>
  <c r="B11" i="91"/>
  <c r="A11" i="91"/>
  <c r="E10" i="91"/>
  <c r="D10" i="91"/>
  <c r="C10" i="91"/>
  <c r="B10" i="91"/>
  <c r="A10" i="91"/>
  <c r="E9" i="91"/>
  <c r="D9" i="91"/>
  <c r="C9" i="91"/>
  <c r="B9" i="91"/>
  <c r="A9" i="91"/>
  <c r="E6" i="91"/>
  <c r="D6" i="91"/>
  <c r="C6" i="91"/>
  <c r="B6" i="91"/>
  <c r="A6" i="91"/>
  <c r="E5" i="91"/>
  <c r="D5" i="91"/>
  <c r="C5" i="91"/>
  <c r="B5" i="91"/>
  <c r="A5" i="91"/>
  <c r="E4" i="91"/>
  <c r="D4" i="91"/>
  <c r="C4" i="91"/>
  <c r="B4" i="91"/>
  <c r="A4" i="91"/>
  <c r="E3" i="91"/>
  <c r="D3" i="91"/>
  <c r="C3" i="91"/>
  <c r="B3" i="91"/>
  <c r="A3" i="91"/>
  <c r="E2" i="91"/>
  <c r="D2" i="91"/>
  <c r="C2" i="91"/>
  <c r="B2" i="91"/>
  <c r="A2" i="91"/>
  <c r="E13" i="90"/>
  <c r="D13" i="90"/>
  <c r="C13" i="90"/>
  <c r="B13" i="90"/>
  <c r="A13" i="90"/>
  <c r="E12" i="90"/>
  <c r="D12" i="90"/>
  <c r="C12" i="90"/>
  <c r="B12" i="90"/>
  <c r="A12" i="90"/>
  <c r="E11" i="90"/>
  <c r="D11" i="90"/>
  <c r="C11" i="90"/>
  <c r="B11" i="90"/>
  <c r="A11" i="90"/>
  <c r="E10" i="90"/>
  <c r="D10" i="90"/>
  <c r="C10" i="90"/>
  <c r="B10" i="90"/>
  <c r="A10" i="90"/>
  <c r="E9" i="90"/>
  <c r="D9" i="90"/>
  <c r="C9" i="90"/>
  <c r="B9" i="90"/>
  <c r="A9" i="90"/>
  <c r="E6" i="90"/>
  <c r="D6" i="90"/>
  <c r="C6" i="90"/>
  <c r="B6" i="90"/>
  <c r="A6" i="90"/>
  <c r="E5" i="90"/>
  <c r="D5" i="90"/>
  <c r="C5" i="90"/>
  <c r="B5" i="90"/>
  <c r="A5" i="90"/>
  <c r="E4" i="90"/>
  <c r="D4" i="90"/>
  <c r="C4" i="90"/>
  <c r="B4" i="90"/>
  <c r="A4" i="90"/>
  <c r="E3" i="90"/>
  <c r="D3" i="90"/>
  <c r="C3" i="90"/>
  <c r="B3" i="90"/>
  <c r="A3" i="90"/>
  <c r="E2" i="90"/>
  <c r="D2" i="90"/>
  <c r="C2" i="90"/>
  <c r="B2" i="90"/>
  <c r="A2" i="90"/>
  <c r="E13" i="89"/>
  <c r="D13" i="89"/>
  <c r="C13" i="89"/>
  <c r="B13" i="89"/>
  <c r="A13" i="89"/>
  <c r="E12" i="89"/>
  <c r="D12" i="89"/>
  <c r="C12" i="89"/>
  <c r="B12" i="89"/>
  <c r="A12" i="89"/>
  <c r="E11" i="89"/>
  <c r="D11" i="89"/>
  <c r="C11" i="89"/>
  <c r="B11" i="89"/>
  <c r="A11" i="89"/>
  <c r="E10" i="89"/>
  <c r="D10" i="89"/>
  <c r="C10" i="89"/>
  <c r="B10" i="89"/>
  <c r="A10" i="89"/>
  <c r="E9" i="89"/>
  <c r="D9" i="89"/>
  <c r="C9" i="89"/>
  <c r="B9" i="89"/>
  <c r="A9" i="89"/>
  <c r="E6" i="89"/>
  <c r="D6" i="89"/>
  <c r="C6" i="89"/>
  <c r="B6" i="89"/>
  <c r="A6" i="89"/>
  <c r="E5" i="89"/>
  <c r="D5" i="89"/>
  <c r="C5" i="89"/>
  <c r="B5" i="89"/>
  <c r="A5" i="89"/>
  <c r="E4" i="89"/>
  <c r="D4" i="89"/>
  <c r="C4" i="89"/>
  <c r="B4" i="89"/>
  <c r="A4" i="89"/>
  <c r="E3" i="89"/>
  <c r="D3" i="89"/>
  <c r="C3" i="89"/>
  <c r="B3" i="89"/>
  <c r="A3" i="89"/>
  <c r="E2" i="89"/>
  <c r="D2" i="89"/>
  <c r="C2" i="89"/>
  <c r="B2" i="89"/>
  <c r="A2" i="89"/>
  <c r="E13" i="88"/>
  <c r="D13" i="88"/>
  <c r="C13" i="88"/>
  <c r="B13" i="88"/>
  <c r="A13" i="88"/>
  <c r="E12" i="88"/>
  <c r="D12" i="88"/>
  <c r="C12" i="88"/>
  <c r="B12" i="88"/>
  <c r="A12" i="88"/>
  <c r="E11" i="88"/>
  <c r="D11" i="88"/>
  <c r="C11" i="88"/>
  <c r="B11" i="88"/>
  <c r="A11" i="88"/>
  <c r="E10" i="88"/>
  <c r="D10" i="88"/>
  <c r="C10" i="88"/>
  <c r="B10" i="88"/>
  <c r="A10" i="88"/>
  <c r="E9" i="88"/>
  <c r="D9" i="88"/>
  <c r="C9" i="88"/>
  <c r="B9" i="88"/>
  <c r="A9" i="88"/>
  <c r="E6" i="88"/>
  <c r="D6" i="88"/>
  <c r="C6" i="88"/>
  <c r="B6" i="88"/>
  <c r="A6" i="88"/>
  <c r="E5" i="88"/>
  <c r="D5" i="88"/>
  <c r="C5" i="88"/>
  <c r="B5" i="88"/>
  <c r="A5" i="88"/>
  <c r="E4" i="88"/>
  <c r="D4" i="88"/>
  <c r="C4" i="88"/>
  <c r="B4" i="88"/>
  <c r="A4" i="88"/>
  <c r="E3" i="88"/>
  <c r="D3" i="88"/>
  <c r="C3" i="88"/>
  <c r="B3" i="88"/>
  <c r="A3" i="88"/>
  <c r="E2" i="88"/>
  <c r="D2" i="88"/>
  <c r="C2" i="88"/>
  <c r="B2" i="88"/>
  <c r="A2" i="88"/>
  <c r="E13" i="87"/>
  <c r="D13" i="87"/>
  <c r="C13" i="87"/>
  <c r="B13" i="87"/>
  <c r="A13" i="87"/>
  <c r="E12" i="87"/>
  <c r="D12" i="87"/>
  <c r="C12" i="87"/>
  <c r="B12" i="87"/>
  <c r="A12" i="87"/>
  <c r="E11" i="87"/>
  <c r="D11" i="87"/>
  <c r="C11" i="87"/>
  <c r="B11" i="87"/>
  <c r="A11" i="87"/>
  <c r="E10" i="87"/>
  <c r="D10" i="87"/>
  <c r="C10" i="87"/>
  <c r="B10" i="87"/>
  <c r="A10" i="87"/>
  <c r="E9" i="87"/>
  <c r="D9" i="87"/>
  <c r="C9" i="87"/>
  <c r="B9" i="87"/>
  <c r="A9" i="87"/>
  <c r="E6" i="87"/>
  <c r="D6" i="87"/>
  <c r="C6" i="87"/>
  <c r="B6" i="87"/>
  <c r="A6" i="87"/>
  <c r="E5" i="87"/>
  <c r="D5" i="87"/>
  <c r="C5" i="87"/>
  <c r="B5" i="87"/>
  <c r="A5" i="87"/>
  <c r="E4" i="87"/>
  <c r="D4" i="87"/>
  <c r="C4" i="87"/>
  <c r="B4" i="87"/>
  <c r="A4" i="87"/>
  <c r="E3" i="87"/>
  <c r="D3" i="87"/>
  <c r="C3" i="87"/>
  <c r="B3" i="87"/>
  <c r="A3" i="87"/>
  <c r="E2" i="87"/>
  <c r="D2" i="87"/>
  <c r="C2" i="87"/>
  <c r="B2" i="87"/>
  <c r="A2" i="87"/>
  <c r="E13" i="86"/>
  <c r="D13" i="86"/>
  <c r="C13" i="86"/>
  <c r="B13" i="86"/>
  <c r="A13" i="86"/>
  <c r="E12" i="86"/>
  <c r="D12" i="86"/>
  <c r="C12" i="86"/>
  <c r="B12" i="86"/>
  <c r="A12" i="86"/>
  <c r="E11" i="86"/>
  <c r="D11" i="86"/>
  <c r="C11" i="86"/>
  <c r="B11" i="86"/>
  <c r="A11" i="86"/>
  <c r="E10" i="86"/>
  <c r="D10" i="86"/>
  <c r="C10" i="86"/>
  <c r="B10" i="86"/>
  <c r="A10" i="86"/>
  <c r="E9" i="86"/>
  <c r="D9" i="86"/>
  <c r="C9" i="86"/>
  <c r="B9" i="86"/>
  <c r="A9" i="86"/>
  <c r="E6" i="86"/>
  <c r="D6" i="86"/>
  <c r="C6" i="86"/>
  <c r="B6" i="86"/>
  <c r="A6" i="86"/>
  <c r="E5" i="86"/>
  <c r="D5" i="86"/>
  <c r="C5" i="86"/>
  <c r="B5" i="86"/>
  <c r="A5" i="86"/>
  <c r="E4" i="86"/>
  <c r="D4" i="86"/>
  <c r="C4" i="86"/>
  <c r="B4" i="86"/>
  <c r="A4" i="86"/>
  <c r="E3" i="86"/>
  <c r="D3" i="86"/>
  <c r="C3" i="86"/>
  <c r="B3" i="86"/>
  <c r="A3" i="86"/>
  <c r="E2" i="86"/>
  <c r="D2" i="86"/>
  <c r="C2" i="86"/>
  <c r="B2" i="86"/>
  <c r="A2" i="86"/>
  <c r="E13" i="85"/>
  <c r="D13" i="85"/>
  <c r="C13" i="85"/>
  <c r="B13" i="85"/>
  <c r="A13" i="85"/>
  <c r="E12" i="85"/>
  <c r="D12" i="85"/>
  <c r="C12" i="85"/>
  <c r="B12" i="85"/>
  <c r="A12" i="85"/>
  <c r="E11" i="85"/>
  <c r="D11" i="85"/>
  <c r="C11" i="85"/>
  <c r="B11" i="85"/>
  <c r="A11" i="85"/>
  <c r="E10" i="85"/>
  <c r="D10" i="85"/>
  <c r="C10" i="85"/>
  <c r="B10" i="85"/>
  <c r="A10" i="85"/>
  <c r="E9" i="85"/>
  <c r="D9" i="85"/>
  <c r="C9" i="85"/>
  <c r="B9" i="85"/>
  <c r="A9" i="85"/>
  <c r="E6" i="85"/>
  <c r="D6" i="85"/>
  <c r="C6" i="85"/>
  <c r="B6" i="85"/>
  <c r="A6" i="85"/>
  <c r="E5" i="85"/>
  <c r="D5" i="85"/>
  <c r="C5" i="85"/>
  <c r="B5" i="85"/>
  <c r="A5" i="85"/>
  <c r="E4" i="85"/>
  <c r="D4" i="85"/>
  <c r="C4" i="85"/>
  <c r="B4" i="85"/>
  <c r="A4" i="85"/>
  <c r="E3" i="85"/>
  <c r="D3" i="85"/>
  <c r="C3" i="85"/>
  <c r="B3" i="85"/>
  <c r="A3" i="85"/>
  <c r="E2" i="85"/>
  <c r="D2" i="85"/>
  <c r="C2" i="85"/>
  <c r="B2" i="85"/>
  <c r="A2" i="85"/>
  <c r="E13" i="84"/>
  <c r="D13" i="84"/>
  <c r="C13" i="84"/>
  <c r="B13" i="84"/>
  <c r="A13" i="84"/>
  <c r="E12" i="84"/>
  <c r="D12" i="84"/>
  <c r="C12" i="84"/>
  <c r="B12" i="84"/>
  <c r="A12" i="84"/>
  <c r="E11" i="84"/>
  <c r="D11" i="84"/>
  <c r="C11" i="84"/>
  <c r="B11" i="84"/>
  <c r="A11" i="84"/>
  <c r="E10" i="84"/>
  <c r="D10" i="84"/>
  <c r="C10" i="84"/>
  <c r="B10" i="84"/>
  <c r="A10" i="84"/>
  <c r="E9" i="84"/>
  <c r="D9" i="84"/>
  <c r="C9" i="84"/>
  <c r="B9" i="84"/>
  <c r="A9" i="84"/>
  <c r="E6" i="84"/>
  <c r="D6" i="84"/>
  <c r="C6" i="84"/>
  <c r="B6" i="84"/>
  <c r="A6" i="84"/>
  <c r="E5" i="84"/>
  <c r="D5" i="84"/>
  <c r="C5" i="84"/>
  <c r="B5" i="84"/>
  <c r="A5" i="84"/>
  <c r="E4" i="84"/>
  <c r="D4" i="84"/>
  <c r="C4" i="84"/>
  <c r="B4" i="84"/>
  <c r="A4" i="84"/>
  <c r="E3" i="84"/>
  <c r="D3" i="84"/>
  <c r="C3" i="84"/>
  <c r="B3" i="84"/>
  <c r="A3" i="84"/>
  <c r="E2" i="84"/>
  <c r="D2" i="84"/>
  <c r="C2" i="84"/>
  <c r="B2" i="84"/>
  <c r="A2" i="84"/>
  <c r="E13" i="83"/>
  <c r="D13" i="83"/>
  <c r="C13" i="83"/>
  <c r="B13" i="83"/>
  <c r="A13" i="83"/>
  <c r="E12" i="83"/>
  <c r="D12" i="83"/>
  <c r="C12" i="83"/>
  <c r="B12" i="83"/>
  <c r="A12" i="83"/>
  <c r="E11" i="83"/>
  <c r="D11" i="83"/>
  <c r="C11" i="83"/>
  <c r="B11" i="83"/>
  <c r="A11" i="83"/>
  <c r="E10" i="83"/>
  <c r="D10" i="83"/>
  <c r="C10" i="83"/>
  <c r="B10" i="83"/>
  <c r="A10" i="83"/>
  <c r="E9" i="83"/>
  <c r="D9" i="83"/>
  <c r="C9" i="83"/>
  <c r="B9" i="83"/>
  <c r="A9" i="83"/>
  <c r="E6" i="83"/>
  <c r="D6" i="83"/>
  <c r="C6" i="83"/>
  <c r="B6" i="83"/>
  <c r="A6" i="83"/>
  <c r="E5" i="83"/>
  <c r="D5" i="83"/>
  <c r="C5" i="83"/>
  <c r="B5" i="83"/>
  <c r="A5" i="83"/>
  <c r="E4" i="83"/>
  <c r="D4" i="83"/>
  <c r="C4" i="83"/>
  <c r="B4" i="83"/>
  <c r="A4" i="83"/>
  <c r="E3" i="83"/>
  <c r="D3" i="83"/>
  <c r="C3" i="83"/>
  <c r="B3" i="83"/>
  <c r="A3" i="83"/>
  <c r="E2" i="83"/>
  <c r="D2" i="83"/>
  <c r="C2" i="83"/>
  <c r="B2" i="83"/>
  <c r="A2" i="83"/>
  <c r="E13" i="82"/>
  <c r="D13" i="82"/>
  <c r="C13" i="82"/>
  <c r="B13" i="82"/>
  <c r="A13" i="82"/>
  <c r="E12" i="82"/>
  <c r="D12" i="82"/>
  <c r="C12" i="82"/>
  <c r="B12" i="82"/>
  <c r="A12" i="82"/>
  <c r="E11" i="82"/>
  <c r="D11" i="82"/>
  <c r="C11" i="82"/>
  <c r="B11" i="82"/>
  <c r="A11" i="82"/>
  <c r="E10" i="82"/>
  <c r="D10" i="82"/>
  <c r="C10" i="82"/>
  <c r="B10" i="82"/>
  <c r="A10" i="82"/>
  <c r="E9" i="82"/>
  <c r="D9" i="82"/>
  <c r="C9" i="82"/>
  <c r="B9" i="82"/>
  <c r="A9" i="82"/>
  <c r="E6" i="82"/>
  <c r="D6" i="82"/>
  <c r="C6" i="82"/>
  <c r="B6" i="82"/>
  <c r="A6" i="82"/>
  <c r="E5" i="82"/>
  <c r="D5" i="82"/>
  <c r="C5" i="82"/>
  <c r="B5" i="82"/>
  <c r="A5" i="82"/>
  <c r="E4" i="82"/>
  <c r="D4" i="82"/>
  <c r="C4" i="82"/>
  <c r="B4" i="82"/>
  <c r="A4" i="82"/>
  <c r="E3" i="82"/>
  <c r="D3" i="82"/>
  <c r="C3" i="82"/>
  <c r="B3" i="82"/>
  <c r="A3" i="82"/>
  <c r="E2" i="82"/>
  <c r="D2" i="82"/>
  <c r="C2" i="82"/>
  <c r="B2" i="82"/>
  <c r="A2" i="82"/>
  <c r="E13" i="81"/>
  <c r="D13" i="81"/>
  <c r="C13" i="81"/>
  <c r="B13" i="81"/>
  <c r="A13" i="81"/>
  <c r="E12" i="81"/>
  <c r="D12" i="81"/>
  <c r="C12" i="81"/>
  <c r="B12" i="81"/>
  <c r="A12" i="81"/>
  <c r="E11" i="81"/>
  <c r="D11" i="81"/>
  <c r="C11" i="81"/>
  <c r="B11" i="81"/>
  <c r="A11" i="81"/>
  <c r="E10" i="81"/>
  <c r="D10" i="81"/>
  <c r="C10" i="81"/>
  <c r="B10" i="81"/>
  <c r="A10" i="81"/>
  <c r="E9" i="81"/>
  <c r="D9" i="81"/>
  <c r="C9" i="81"/>
  <c r="B9" i="81"/>
  <c r="A9" i="81"/>
  <c r="E6" i="81"/>
  <c r="D6" i="81"/>
  <c r="C6" i="81"/>
  <c r="B6" i="81"/>
  <c r="A6" i="81"/>
  <c r="E5" i="81"/>
  <c r="D5" i="81"/>
  <c r="C5" i="81"/>
  <c r="B5" i="81"/>
  <c r="A5" i="81"/>
  <c r="E4" i="81"/>
  <c r="D4" i="81"/>
  <c r="C4" i="81"/>
  <c r="B4" i="81"/>
  <c r="A4" i="81"/>
  <c r="E3" i="81"/>
  <c r="D3" i="81"/>
  <c r="C3" i="81"/>
  <c r="B3" i="81"/>
  <c r="A3" i="81"/>
  <c r="E2" i="81"/>
  <c r="D2" i="81"/>
  <c r="C2" i="81"/>
  <c r="B2" i="81"/>
  <c r="A2" i="81"/>
  <c r="E13" i="80"/>
  <c r="D13" i="80"/>
  <c r="C13" i="80"/>
  <c r="B13" i="80"/>
  <c r="A13" i="80"/>
  <c r="E12" i="80"/>
  <c r="D12" i="80"/>
  <c r="C12" i="80"/>
  <c r="B12" i="80"/>
  <c r="A12" i="80"/>
  <c r="E11" i="80"/>
  <c r="D11" i="80"/>
  <c r="C11" i="80"/>
  <c r="B11" i="80"/>
  <c r="A11" i="80"/>
  <c r="E10" i="80"/>
  <c r="D10" i="80"/>
  <c r="C10" i="80"/>
  <c r="B10" i="80"/>
  <c r="A10" i="80"/>
  <c r="E9" i="80"/>
  <c r="D9" i="80"/>
  <c r="C9" i="80"/>
  <c r="B9" i="80"/>
  <c r="A9" i="80"/>
  <c r="E6" i="80"/>
  <c r="D6" i="80"/>
  <c r="C6" i="80"/>
  <c r="B6" i="80"/>
  <c r="A6" i="80"/>
  <c r="E5" i="80"/>
  <c r="D5" i="80"/>
  <c r="C5" i="80"/>
  <c r="B5" i="80"/>
  <c r="A5" i="80"/>
  <c r="E4" i="80"/>
  <c r="D4" i="80"/>
  <c r="C4" i="80"/>
  <c r="B4" i="80"/>
  <c r="A4" i="80"/>
  <c r="E3" i="80"/>
  <c r="D3" i="80"/>
  <c r="C3" i="80"/>
  <c r="B3" i="80"/>
  <c r="A3" i="80"/>
  <c r="E2" i="80"/>
  <c r="D2" i="80"/>
  <c r="C2" i="80"/>
  <c r="B2" i="80"/>
  <c r="A2" i="80"/>
  <c r="E13" i="79"/>
  <c r="D13" i="79"/>
  <c r="C13" i="79"/>
  <c r="B13" i="79"/>
  <c r="A13" i="79"/>
  <c r="E12" i="79"/>
  <c r="D12" i="79"/>
  <c r="C12" i="79"/>
  <c r="B12" i="79"/>
  <c r="A12" i="79"/>
  <c r="E11" i="79"/>
  <c r="D11" i="79"/>
  <c r="C11" i="79"/>
  <c r="B11" i="79"/>
  <c r="A11" i="79"/>
  <c r="E10" i="79"/>
  <c r="D10" i="79"/>
  <c r="C10" i="79"/>
  <c r="B10" i="79"/>
  <c r="A10" i="79"/>
  <c r="E9" i="79"/>
  <c r="D9" i="79"/>
  <c r="C9" i="79"/>
  <c r="B9" i="79"/>
  <c r="A9" i="79"/>
  <c r="E6" i="79"/>
  <c r="D6" i="79"/>
  <c r="C6" i="79"/>
  <c r="B6" i="79"/>
  <c r="A6" i="79"/>
  <c r="E5" i="79"/>
  <c r="D5" i="79"/>
  <c r="C5" i="79"/>
  <c r="B5" i="79"/>
  <c r="A5" i="79"/>
  <c r="E4" i="79"/>
  <c r="D4" i="79"/>
  <c r="C4" i="79"/>
  <c r="B4" i="79"/>
  <c r="A4" i="79"/>
  <c r="E3" i="79"/>
  <c r="D3" i="79"/>
  <c r="C3" i="79"/>
  <c r="B3" i="79"/>
  <c r="A3" i="79"/>
  <c r="E2" i="79"/>
  <c r="D2" i="79"/>
  <c r="C2" i="79"/>
  <c r="B2" i="79"/>
  <c r="A2" i="79"/>
  <c r="E13" i="78"/>
  <c r="D13" i="78"/>
  <c r="C13" i="78"/>
  <c r="B13" i="78"/>
  <c r="A13" i="78"/>
  <c r="E12" i="78"/>
  <c r="D12" i="78"/>
  <c r="C12" i="78"/>
  <c r="B12" i="78"/>
  <c r="A12" i="78"/>
  <c r="E11" i="78"/>
  <c r="D11" i="78"/>
  <c r="C11" i="78"/>
  <c r="B11" i="78"/>
  <c r="A11" i="78"/>
  <c r="E10" i="78"/>
  <c r="D10" i="78"/>
  <c r="C10" i="78"/>
  <c r="B10" i="78"/>
  <c r="A10" i="78"/>
  <c r="E9" i="78"/>
  <c r="D9" i="78"/>
  <c r="C9" i="78"/>
  <c r="B9" i="78"/>
  <c r="A9" i="78"/>
  <c r="E6" i="78"/>
  <c r="D6" i="78"/>
  <c r="C6" i="78"/>
  <c r="B6" i="78"/>
  <c r="A6" i="78"/>
  <c r="E5" i="78"/>
  <c r="D5" i="78"/>
  <c r="C5" i="78"/>
  <c r="B5" i="78"/>
  <c r="A5" i="78"/>
  <c r="E4" i="78"/>
  <c r="D4" i="78"/>
  <c r="C4" i="78"/>
  <c r="B4" i="78"/>
  <c r="A4" i="78"/>
  <c r="E3" i="78"/>
  <c r="D3" i="78"/>
  <c r="C3" i="78"/>
  <c r="B3" i="78"/>
  <c r="A3" i="78"/>
  <c r="E2" i="78"/>
  <c r="D2" i="78"/>
  <c r="C2" i="78"/>
  <c r="B2" i="78"/>
  <c r="A2" i="78"/>
  <c r="E13" i="77"/>
  <c r="D13" i="77"/>
  <c r="C13" i="77"/>
  <c r="B13" i="77"/>
  <c r="A13" i="77"/>
  <c r="E12" i="77"/>
  <c r="D12" i="77"/>
  <c r="C12" i="77"/>
  <c r="B12" i="77"/>
  <c r="A12" i="77"/>
  <c r="E11" i="77"/>
  <c r="D11" i="77"/>
  <c r="C11" i="77"/>
  <c r="B11" i="77"/>
  <c r="A11" i="77"/>
  <c r="E10" i="77"/>
  <c r="D10" i="77"/>
  <c r="C10" i="77"/>
  <c r="B10" i="77"/>
  <c r="A10" i="77"/>
  <c r="E9" i="77"/>
  <c r="D9" i="77"/>
  <c r="C9" i="77"/>
  <c r="B9" i="77"/>
  <c r="A9" i="77"/>
  <c r="E6" i="77"/>
  <c r="D6" i="77"/>
  <c r="C6" i="77"/>
  <c r="B6" i="77"/>
  <c r="A6" i="77"/>
  <c r="E5" i="77"/>
  <c r="D5" i="77"/>
  <c r="C5" i="77"/>
  <c r="B5" i="77"/>
  <c r="A5" i="77"/>
  <c r="E4" i="77"/>
  <c r="D4" i="77"/>
  <c r="C4" i="77"/>
  <c r="B4" i="77"/>
  <c r="A4" i="77"/>
  <c r="E3" i="77"/>
  <c r="D3" i="77"/>
  <c r="C3" i="77"/>
  <c r="B3" i="77"/>
  <c r="A3" i="77"/>
  <c r="E2" i="77"/>
  <c r="D2" i="77"/>
  <c r="C2" i="77"/>
  <c r="B2" i="77"/>
  <c r="A2" i="77"/>
  <c r="E13" i="76"/>
  <c r="D13" i="76"/>
  <c r="C13" i="76"/>
  <c r="B13" i="76"/>
  <c r="A13" i="76"/>
  <c r="E12" i="76"/>
  <c r="D12" i="76"/>
  <c r="C12" i="76"/>
  <c r="B12" i="76"/>
  <c r="A12" i="76"/>
  <c r="E11" i="76"/>
  <c r="D11" i="76"/>
  <c r="C11" i="76"/>
  <c r="B11" i="76"/>
  <c r="A11" i="76"/>
  <c r="E10" i="76"/>
  <c r="D10" i="76"/>
  <c r="C10" i="76"/>
  <c r="B10" i="76"/>
  <c r="A10" i="76"/>
  <c r="E9" i="76"/>
  <c r="D9" i="76"/>
  <c r="C9" i="76"/>
  <c r="B9" i="76"/>
  <c r="A9" i="76"/>
  <c r="E6" i="76"/>
  <c r="D6" i="76"/>
  <c r="C6" i="76"/>
  <c r="B6" i="76"/>
  <c r="A6" i="76"/>
  <c r="E5" i="76"/>
  <c r="D5" i="76"/>
  <c r="C5" i="76"/>
  <c r="B5" i="76"/>
  <c r="A5" i="76"/>
  <c r="E4" i="76"/>
  <c r="D4" i="76"/>
  <c r="C4" i="76"/>
  <c r="B4" i="76"/>
  <c r="A4" i="76"/>
  <c r="E3" i="76"/>
  <c r="D3" i="76"/>
  <c r="C3" i="76"/>
  <c r="B3" i="76"/>
  <c r="A3" i="76"/>
  <c r="E2" i="76"/>
  <c r="D2" i="76"/>
  <c r="C2" i="76"/>
  <c r="B2" i="76"/>
  <c r="A2" i="76"/>
  <c r="E13" i="75"/>
  <c r="D13" i="75"/>
  <c r="C13" i="75"/>
  <c r="B13" i="75"/>
  <c r="A13" i="75"/>
  <c r="E12" i="75"/>
  <c r="D12" i="75"/>
  <c r="C12" i="75"/>
  <c r="B12" i="75"/>
  <c r="A12" i="75"/>
  <c r="E11" i="75"/>
  <c r="D11" i="75"/>
  <c r="C11" i="75"/>
  <c r="B11" i="75"/>
  <c r="A11" i="75"/>
  <c r="E10" i="75"/>
  <c r="D10" i="75"/>
  <c r="C10" i="75"/>
  <c r="B10" i="75"/>
  <c r="A10" i="75"/>
  <c r="E9" i="75"/>
  <c r="D9" i="75"/>
  <c r="C9" i="75"/>
  <c r="B9" i="75"/>
  <c r="A9" i="75"/>
  <c r="E6" i="75"/>
  <c r="D6" i="75"/>
  <c r="C6" i="75"/>
  <c r="B6" i="75"/>
  <c r="A6" i="75"/>
  <c r="E5" i="75"/>
  <c r="D5" i="75"/>
  <c r="C5" i="75"/>
  <c r="B5" i="75"/>
  <c r="A5" i="75"/>
  <c r="E4" i="75"/>
  <c r="D4" i="75"/>
  <c r="C4" i="75"/>
  <c r="B4" i="75"/>
  <c r="A4" i="75"/>
  <c r="E3" i="75"/>
  <c r="D3" i="75"/>
  <c r="C3" i="75"/>
  <c r="B3" i="75"/>
  <c r="A3" i="75"/>
  <c r="E2" i="75"/>
  <c r="D2" i="75"/>
  <c r="C2" i="75"/>
  <c r="B2" i="75"/>
  <c r="A2" i="75"/>
  <c r="E13" i="74"/>
  <c r="D13" i="74"/>
  <c r="C13" i="74"/>
  <c r="B13" i="74"/>
  <c r="A13" i="74"/>
  <c r="E12" i="74"/>
  <c r="D12" i="74"/>
  <c r="C12" i="74"/>
  <c r="B12" i="74"/>
  <c r="A12" i="74"/>
  <c r="E11" i="74"/>
  <c r="D11" i="74"/>
  <c r="C11" i="74"/>
  <c r="B11" i="74"/>
  <c r="A11" i="74"/>
  <c r="E10" i="74"/>
  <c r="D10" i="74"/>
  <c r="C10" i="74"/>
  <c r="B10" i="74"/>
  <c r="A10" i="74"/>
  <c r="E9" i="74"/>
  <c r="D9" i="74"/>
  <c r="C9" i="74"/>
  <c r="B9" i="74"/>
  <c r="A9" i="74"/>
  <c r="E6" i="74"/>
  <c r="D6" i="74"/>
  <c r="C6" i="74"/>
  <c r="B6" i="74"/>
  <c r="A6" i="74"/>
  <c r="E5" i="74"/>
  <c r="D5" i="74"/>
  <c r="C5" i="74"/>
  <c r="B5" i="74"/>
  <c r="A5" i="74"/>
  <c r="E4" i="74"/>
  <c r="D4" i="74"/>
  <c r="C4" i="74"/>
  <c r="B4" i="74"/>
  <c r="A4" i="74"/>
  <c r="E3" i="74"/>
  <c r="D3" i="74"/>
  <c r="C3" i="74"/>
  <c r="B3" i="74"/>
  <c r="A3" i="74"/>
  <c r="E2" i="74"/>
  <c r="D2" i="74"/>
  <c r="C2" i="74"/>
  <c r="B2" i="74"/>
  <c r="A2" i="74"/>
  <c r="E13" i="73"/>
  <c r="D13" i="73"/>
  <c r="C13" i="73"/>
  <c r="B13" i="73"/>
  <c r="A13" i="73"/>
  <c r="E12" i="73"/>
  <c r="D12" i="73"/>
  <c r="C12" i="73"/>
  <c r="B12" i="73"/>
  <c r="A12" i="73"/>
  <c r="E11" i="73"/>
  <c r="D11" i="73"/>
  <c r="C11" i="73"/>
  <c r="B11" i="73"/>
  <c r="A11" i="73"/>
  <c r="E10" i="73"/>
  <c r="D10" i="73"/>
  <c r="C10" i="73"/>
  <c r="B10" i="73"/>
  <c r="A10" i="73"/>
  <c r="E9" i="73"/>
  <c r="D9" i="73"/>
  <c r="C9" i="73"/>
  <c r="B9" i="73"/>
  <c r="A9" i="73"/>
  <c r="E6" i="73"/>
  <c r="D6" i="73"/>
  <c r="C6" i="73"/>
  <c r="B6" i="73"/>
  <c r="A6" i="73"/>
  <c r="E5" i="73"/>
  <c r="D5" i="73"/>
  <c r="C5" i="73"/>
  <c r="B5" i="73"/>
  <c r="A5" i="73"/>
  <c r="E4" i="73"/>
  <c r="D4" i="73"/>
  <c r="C4" i="73"/>
  <c r="B4" i="73"/>
  <c r="A4" i="73"/>
  <c r="E3" i="73"/>
  <c r="D3" i="73"/>
  <c r="C3" i="73"/>
  <c r="B3" i="73"/>
  <c r="A3" i="73"/>
  <c r="E2" i="73"/>
  <c r="D2" i="73"/>
  <c r="C2" i="73"/>
  <c r="B2" i="73"/>
  <c r="A2" i="73"/>
  <c r="E13" i="72"/>
  <c r="D13" i="72"/>
  <c r="C13" i="72"/>
  <c r="B13" i="72"/>
  <c r="A13" i="72"/>
  <c r="E12" i="72"/>
  <c r="D12" i="72"/>
  <c r="C12" i="72"/>
  <c r="B12" i="72"/>
  <c r="A12" i="72"/>
  <c r="E11" i="72"/>
  <c r="D11" i="72"/>
  <c r="C11" i="72"/>
  <c r="B11" i="72"/>
  <c r="A11" i="72"/>
  <c r="E10" i="72"/>
  <c r="D10" i="72"/>
  <c r="C10" i="72"/>
  <c r="B10" i="72"/>
  <c r="A10" i="72"/>
  <c r="E9" i="72"/>
  <c r="D9" i="72"/>
  <c r="C9" i="72"/>
  <c r="B9" i="72"/>
  <c r="A9" i="72"/>
  <c r="E6" i="72"/>
  <c r="D6" i="72"/>
  <c r="C6" i="72"/>
  <c r="B6" i="72"/>
  <c r="A6" i="72"/>
  <c r="E5" i="72"/>
  <c r="D5" i="72"/>
  <c r="C5" i="72"/>
  <c r="B5" i="72"/>
  <c r="A5" i="72"/>
  <c r="E4" i="72"/>
  <c r="D4" i="72"/>
  <c r="C4" i="72"/>
  <c r="B4" i="72"/>
  <c r="A4" i="72"/>
  <c r="E3" i="72"/>
  <c r="D3" i="72"/>
  <c r="C3" i="72"/>
  <c r="B3" i="72"/>
  <c r="A3" i="72"/>
  <c r="E2" i="72"/>
  <c r="D2" i="72"/>
  <c r="C2" i="72"/>
  <c r="B2" i="72"/>
  <c r="A2" i="72"/>
  <c r="AV1" i="2"/>
  <c r="AB1" i="2"/>
  <c r="H1" i="2"/>
  <c r="L71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W2" i="2"/>
  <c r="AX2" i="2"/>
  <c r="AY2" i="2"/>
  <c r="AX1" i="2"/>
  <c r="AT1" i="2"/>
  <c r="AR1" i="2"/>
  <c r="AP1" i="2"/>
  <c r="AN1" i="2"/>
  <c r="AL1" i="2"/>
  <c r="AJ1" i="2"/>
  <c r="AH1" i="2"/>
  <c r="AF1" i="2"/>
  <c r="AD1" i="2"/>
  <c r="Z1" i="2"/>
  <c r="X1" i="2"/>
  <c r="V1" i="2"/>
  <c r="T1" i="2"/>
  <c r="R1" i="2"/>
  <c r="P1" i="2"/>
  <c r="N1" i="2"/>
  <c r="L1" i="2"/>
  <c r="J1" i="2"/>
  <c r="F1" i="2"/>
  <c r="D1" i="2"/>
  <c r="B1" i="2"/>
  <c r="B2" i="2"/>
  <c r="A6" i="55" l="1"/>
  <c r="O39" i="2" l="1"/>
  <c r="AC39" i="2"/>
  <c r="F46" i="2"/>
  <c r="AT43" i="2"/>
  <c r="R50" i="2"/>
  <c r="AX35" i="2"/>
  <c r="AC33" i="2"/>
  <c r="M37" i="2"/>
  <c r="T38" i="2"/>
  <c r="AQ47" i="2"/>
  <c r="AG32" i="2"/>
  <c r="AC34" i="2"/>
  <c r="AX49" i="2"/>
  <c r="AJ36" i="2"/>
  <c r="X34" i="2"/>
  <c r="AL50" i="2"/>
  <c r="M43" i="2"/>
  <c r="K36" i="2"/>
  <c r="Y44" i="2"/>
  <c r="AJ45" i="2"/>
  <c r="W48" i="2"/>
  <c r="AA42" i="2"/>
  <c r="AV35" i="2"/>
  <c r="G34" i="2"/>
  <c r="AI38" i="2"/>
  <c r="AL48" i="2"/>
  <c r="M46" i="2"/>
  <c r="AJ53" i="2"/>
  <c r="AW40" i="2"/>
  <c r="AS48" i="2"/>
  <c r="AS45" i="2"/>
  <c r="S47" i="2"/>
  <c r="AJ40" i="2"/>
  <c r="N39" i="2"/>
  <c r="AD48" i="2"/>
  <c r="D35" i="2"/>
  <c r="AT38" i="2"/>
  <c r="AS36" i="2"/>
  <c r="F54" i="2"/>
  <c r="K49" i="2"/>
  <c r="AW42" i="2"/>
  <c r="S54" i="2"/>
  <c r="V37" i="2"/>
  <c r="AM36" i="2"/>
  <c r="R37" i="2"/>
  <c r="X36" i="2"/>
  <c r="H30" i="2"/>
  <c r="AM51" i="2"/>
  <c r="AP37" i="2"/>
  <c r="AK49" i="2"/>
  <c r="G54" i="2"/>
  <c r="B51" i="2"/>
  <c r="K35" i="2"/>
  <c r="AM30" i="2"/>
  <c r="I53" i="2"/>
  <c r="H33" i="2"/>
  <c r="AW41" i="2"/>
  <c r="AL33" i="2"/>
  <c r="AH48" i="2"/>
  <c r="P49" i="2"/>
  <c r="V31" i="2"/>
  <c r="AV53" i="2"/>
  <c r="AR34" i="2"/>
  <c r="C32" i="2"/>
  <c r="O42" i="2"/>
  <c r="AH35" i="2"/>
  <c r="AD43" i="2"/>
  <c r="V49" i="2"/>
  <c r="U44" i="2"/>
  <c r="AW30" i="2"/>
  <c r="X37" i="2"/>
  <c r="AO53" i="2"/>
  <c r="N40" i="2"/>
  <c r="Z35" i="2"/>
  <c r="AR48" i="2"/>
  <c r="W43" i="2"/>
  <c r="AF40" i="2"/>
  <c r="AS33" i="2"/>
  <c r="AE35" i="2"/>
  <c r="AL36" i="2"/>
  <c r="O48" i="2"/>
  <c r="AD35" i="2"/>
  <c r="C45" i="2"/>
  <c r="Q46" i="2"/>
  <c r="AA50" i="2"/>
  <c r="F53" i="2"/>
  <c r="AE36" i="2"/>
  <c r="L41" i="2"/>
  <c r="B40" i="2"/>
  <c r="T43" i="2"/>
  <c r="O36" i="2"/>
  <c r="Q32" i="2"/>
  <c r="G48" i="2"/>
  <c r="AU53" i="2"/>
  <c r="U30" i="2"/>
  <c r="AU52" i="2"/>
  <c r="I40" i="2"/>
  <c r="R31" i="2"/>
  <c r="AE54" i="2"/>
  <c r="AI42" i="2"/>
  <c r="S37" i="2"/>
  <c r="AQ49" i="2"/>
  <c r="Z43" i="2"/>
  <c r="C44" i="2"/>
  <c r="T42" i="2"/>
  <c r="AJ30" i="2"/>
  <c r="L30" i="2"/>
  <c r="AW44" i="2"/>
  <c r="AK45" i="2"/>
  <c r="M52" i="2"/>
  <c r="X40" i="2"/>
  <c r="Q34" i="2"/>
  <c r="J34" i="2"/>
  <c r="R52" i="2"/>
  <c r="AM54" i="2"/>
  <c r="AX50" i="2"/>
  <c r="AR46" i="2"/>
  <c r="AY54" i="2"/>
  <c r="AL40" i="2"/>
  <c r="G52" i="2"/>
  <c r="AO30" i="2"/>
  <c r="AS40" i="2"/>
  <c r="AF36" i="2"/>
  <c r="U36" i="2"/>
  <c r="Q36" i="2"/>
  <c r="S41" i="2"/>
  <c r="AA45" i="2"/>
  <c r="AH38" i="2"/>
  <c r="AI44" i="2"/>
  <c r="I32" i="2"/>
  <c r="AG33" i="2"/>
  <c r="AS47" i="2"/>
  <c r="X39" i="2"/>
  <c r="AN40" i="2"/>
  <c r="AP48" i="2"/>
  <c r="AQ48" i="2"/>
  <c r="AN52" i="2"/>
  <c r="Q44" i="2"/>
  <c r="K52" i="2"/>
  <c r="AE53" i="2"/>
  <c r="B42" i="2"/>
  <c r="O45" i="2"/>
  <c r="S53" i="2"/>
  <c r="R47" i="2"/>
  <c r="F38" i="2"/>
  <c r="G45" i="2"/>
  <c r="E32" i="2"/>
  <c r="AY44" i="2"/>
  <c r="E46" i="2"/>
  <c r="AU33" i="2"/>
  <c r="AJ48" i="2"/>
  <c r="Q49" i="2"/>
  <c r="AV50" i="2"/>
  <c r="AF38" i="2"/>
  <c r="U35" i="2"/>
  <c r="AT52" i="2"/>
  <c r="AI46" i="2"/>
  <c r="AX51" i="2"/>
  <c r="H34" i="2"/>
  <c r="W44" i="2"/>
  <c r="AI43" i="2"/>
  <c r="W32" i="2"/>
  <c r="AP42" i="2"/>
  <c r="AK37" i="2"/>
  <c r="E42" i="2"/>
  <c r="E52" i="2"/>
  <c r="AC47" i="2"/>
  <c r="AN50" i="2"/>
  <c r="B44" i="2"/>
  <c r="AE34" i="2"/>
  <c r="AH54" i="2"/>
  <c r="E49" i="2"/>
  <c r="D37" i="2"/>
  <c r="AQ38" i="2"/>
  <c r="D53" i="2"/>
  <c r="AF30" i="2"/>
  <c r="Z44" i="2"/>
  <c r="Y39" i="2"/>
  <c r="X48" i="2"/>
  <c r="AR52" i="2"/>
  <c r="W52" i="2"/>
  <c r="C49" i="2"/>
  <c r="AA39" i="2"/>
  <c r="AQ36" i="2"/>
  <c r="K46" i="2"/>
  <c r="AA46" i="2"/>
  <c r="AP47" i="2"/>
  <c r="N54" i="2"/>
  <c r="N32" i="2"/>
  <c r="W42" i="2"/>
  <c r="AP30" i="2"/>
  <c r="AP52" i="2"/>
  <c r="AY48" i="2"/>
  <c r="AV32" i="2"/>
  <c r="AR43" i="2"/>
  <c r="R51" i="2"/>
  <c r="AN47" i="2"/>
  <c r="AX41" i="2"/>
  <c r="AL49" i="2"/>
  <c r="AQ31" i="2"/>
  <c r="AX53" i="2"/>
  <c r="O47" i="2"/>
  <c r="C37" i="2"/>
  <c r="AQ30" i="2"/>
  <c r="Z49" i="2"/>
  <c r="AQ54" i="2"/>
  <c r="L48" i="2"/>
  <c r="AY41" i="2"/>
  <c r="AQ42" i="2"/>
  <c r="AI45" i="2"/>
  <c r="I54" i="2"/>
  <c r="D39" i="2"/>
  <c r="S36" i="2"/>
  <c r="AA40" i="2"/>
  <c r="J43" i="2"/>
  <c r="I52" i="2"/>
  <c r="AU31" i="2"/>
  <c r="AF50" i="2"/>
  <c r="P35" i="2"/>
  <c r="C43" i="2"/>
  <c r="V53" i="2"/>
  <c r="E33" i="2"/>
  <c r="F34" i="2"/>
  <c r="H52" i="2"/>
  <c r="AF53" i="2"/>
  <c r="AK41" i="2"/>
  <c r="AU38" i="2"/>
  <c r="C41" i="2"/>
  <c r="AA33" i="2"/>
  <c r="K43" i="2"/>
  <c r="AH37" i="2"/>
  <c r="AL34" i="2"/>
  <c r="AC32" i="2"/>
  <c r="AA51" i="2"/>
  <c r="J49" i="2"/>
  <c r="AV41" i="2"/>
  <c r="U50" i="2"/>
  <c r="W34" i="2"/>
  <c r="AW50" i="2"/>
  <c r="K39" i="2"/>
  <c r="D30" i="2"/>
  <c r="AJ50" i="2"/>
  <c r="B32" i="2"/>
  <c r="S46" i="2"/>
  <c r="AG43" i="2"/>
  <c r="AI33" i="2"/>
  <c r="AE49" i="2"/>
  <c r="B50" i="2"/>
  <c r="R35" i="2"/>
  <c r="AB51" i="2"/>
  <c r="H35" i="2"/>
  <c r="Y43" i="2"/>
  <c r="E39" i="2"/>
  <c r="N49" i="2"/>
  <c r="U31" i="2"/>
  <c r="I50" i="2"/>
  <c r="AH44" i="2"/>
  <c r="J30" i="2"/>
  <c r="R39" i="2"/>
  <c r="P53" i="2"/>
  <c r="AH45" i="2"/>
  <c r="AH43" i="2"/>
  <c r="AM31" i="2"/>
  <c r="C47" i="2"/>
  <c r="Y41" i="2"/>
  <c r="AK38" i="2"/>
  <c r="R43" i="2"/>
  <c r="F33" i="2"/>
  <c r="AY53" i="2"/>
  <c r="AR35" i="2"/>
  <c r="F32" i="2"/>
  <c r="T47" i="2"/>
  <c r="AK39" i="2"/>
  <c r="P52" i="2"/>
  <c r="N38" i="2"/>
  <c r="AG42" i="2"/>
  <c r="O43" i="2"/>
  <c r="AH47" i="2"/>
  <c r="AY46" i="2"/>
  <c r="W46" i="2"/>
  <c r="AB36" i="2"/>
  <c r="N42" i="2"/>
  <c r="M40" i="2"/>
  <c r="B43" i="2"/>
  <c r="AH50" i="2"/>
  <c r="AO39" i="2"/>
  <c r="AF45" i="2"/>
  <c r="D48" i="2"/>
  <c r="AY30" i="2"/>
  <c r="AQ52" i="2"/>
  <c r="AR40" i="2"/>
  <c r="AV47" i="2"/>
  <c r="AC40" i="2"/>
  <c r="C51" i="2"/>
  <c r="AC37" i="2"/>
  <c r="F44" i="2"/>
  <c r="AN45" i="2"/>
  <c r="AP34" i="2"/>
  <c r="H40" i="2"/>
  <c r="AG36" i="2"/>
  <c r="AK31" i="2"/>
  <c r="T33" i="2"/>
  <c r="AY39" i="2"/>
  <c r="AS54" i="2"/>
  <c r="I30" i="2"/>
  <c r="E38" i="2"/>
  <c r="AH34" i="2"/>
  <c r="P48" i="2"/>
  <c r="AM39" i="2"/>
  <c r="AH41" i="2"/>
  <c r="T48" i="2"/>
  <c r="AM33" i="2"/>
  <c r="N37" i="2"/>
  <c r="AF48" i="2"/>
  <c r="AA37" i="2"/>
  <c r="AI50" i="2"/>
  <c r="E31" i="2"/>
  <c r="L40" i="2"/>
  <c r="W40" i="2"/>
  <c r="AN34" i="2"/>
  <c r="R42" i="2"/>
  <c r="Y34" i="2"/>
  <c r="AP49" i="2"/>
  <c r="AO35" i="2"/>
  <c r="T41" i="2"/>
  <c r="F31" i="2"/>
  <c r="AA54" i="2"/>
  <c r="AI32" i="2"/>
  <c r="AB35" i="2"/>
  <c r="L37" i="2"/>
  <c r="AD38" i="2"/>
  <c r="AY51" i="2"/>
  <c r="AV30" i="2"/>
  <c r="AW52" i="2"/>
  <c r="AG45" i="2"/>
  <c r="AC54" i="2"/>
  <c r="D54" i="2"/>
  <c r="AD53" i="2"/>
  <c r="AJ35" i="2"/>
  <c r="M35" i="2"/>
  <c r="AK46" i="2"/>
  <c r="H51" i="2"/>
  <c r="AN53" i="2"/>
  <c r="AE39" i="2"/>
  <c r="AN42" i="2"/>
  <c r="J47" i="2"/>
  <c r="AL31" i="2"/>
  <c r="U33" i="2"/>
  <c r="V44" i="2"/>
  <c r="AB32" i="2"/>
  <c r="Z50" i="2"/>
  <c r="W30" i="2"/>
  <c r="AH40" i="2"/>
  <c r="AY37" i="2"/>
  <c r="AC51" i="2"/>
  <c r="AD41" i="2"/>
  <c r="AI49" i="2"/>
  <c r="AL53" i="2"/>
  <c r="AA52" i="2"/>
  <c r="AR32" i="2"/>
  <c r="AD51" i="2"/>
  <c r="AT46" i="2"/>
  <c r="F42" i="2"/>
  <c r="AN54" i="2"/>
  <c r="AL52" i="2"/>
  <c r="AG40" i="2"/>
  <c r="AW48" i="2"/>
  <c r="AR49" i="2"/>
  <c r="AB53" i="2"/>
  <c r="AY47" i="2"/>
  <c r="AG39" i="2"/>
  <c r="U49" i="2"/>
  <c r="Z51" i="2"/>
  <c r="K41" i="2"/>
  <c r="AS43" i="2"/>
  <c r="C54" i="2"/>
  <c r="AD52" i="2"/>
  <c r="E50" i="2"/>
  <c r="AT54" i="2"/>
  <c r="M41" i="2"/>
  <c r="C50" i="2"/>
  <c r="AL47" i="2"/>
  <c r="Y47" i="2"/>
  <c r="M36" i="2"/>
  <c r="N48" i="2"/>
  <c r="B47" i="2"/>
  <c r="AQ44" i="2"/>
  <c r="H31" i="2"/>
  <c r="Z52" i="2"/>
  <c r="AG49" i="2"/>
  <c r="E30" i="2"/>
  <c r="AI30" i="2"/>
  <c r="G44" i="2"/>
  <c r="AC31" i="2"/>
  <c r="T40" i="2"/>
  <c r="H45" i="2"/>
  <c r="AY45" i="2"/>
  <c r="AX44" i="2"/>
  <c r="Y31" i="2"/>
  <c r="L45" i="2"/>
  <c r="AR37" i="2"/>
  <c r="Y46" i="2"/>
  <c r="AO44" i="2"/>
  <c r="AH32" i="2"/>
  <c r="D40" i="2"/>
  <c r="F39" i="2"/>
  <c r="AF49" i="2"/>
  <c r="O37" i="2"/>
  <c r="AX48" i="2"/>
  <c r="V43" i="2"/>
  <c r="Z30" i="2"/>
  <c r="AX46" i="2"/>
  <c r="AR30" i="2"/>
  <c r="AL43" i="2"/>
  <c r="F47" i="2"/>
  <c r="I42" i="2"/>
  <c r="P33" i="2"/>
  <c r="V50" i="2"/>
  <c r="AF41" i="2"/>
  <c r="D41" i="2"/>
  <c r="Y37" i="2"/>
  <c r="Q35" i="2"/>
  <c r="U52" i="2"/>
  <c r="AY38" i="2"/>
  <c r="Y45" i="2"/>
  <c r="AW53" i="2"/>
  <c r="AE37" i="2"/>
  <c r="Q30" i="2"/>
  <c r="J51" i="2"/>
  <c r="AO33" i="2"/>
  <c r="X45" i="2"/>
  <c r="E51" i="2"/>
  <c r="I47" i="2"/>
  <c r="V32" i="2"/>
  <c r="O35" i="2"/>
  <c r="AS42" i="2"/>
  <c r="AM50" i="2"/>
  <c r="AP41" i="2"/>
  <c r="AS31" i="2"/>
  <c r="Z31" i="2"/>
  <c r="AI40" i="2"/>
  <c r="AW47" i="2"/>
  <c r="C40" i="2"/>
  <c r="AH33" i="2"/>
  <c r="K42" i="2"/>
  <c r="I49" i="2"/>
  <c r="AB49" i="2"/>
  <c r="P43" i="2"/>
  <c r="U39" i="2"/>
  <c r="AN31" i="2"/>
  <c r="AP44" i="2"/>
  <c r="Y38" i="2"/>
  <c r="AR38" i="2"/>
  <c r="W35" i="2"/>
  <c r="F51" i="2"/>
  <c r="AT32" i="2"/>
  <c r="AS46" i="2"/>
  <c r="AM46" i="2"/>
  <c r="I33" i="2"/>
  <c r="AS51" i="2"/>
  <c r="J54" i="2"/>
  <c r="P54" i="2"/>
  <c r="I39" i="2"/>
  <c r="T35" i="2"/>
  <c r="L43" i="2"/>
  <c r="AB33" i="2"/>
  <c r="I51" i="2"/>
  <c r="AW49" i="2"/>
  <c r="AR36" i="2"/>
  <c r="AR54" i="2"/>
  <c r="AK40" i="2"/>
  <c r="P36" i="2"/>
  <c r="R38" i="2"/>
  <c r="AW46" i="2"/>
  <c r="Z37" i="2"/>
  <c r="AV52" i="2"/>
  <c r="Z41" i="2"/>
  <c r="Z34" i="2"/>
  <c r="P50" i="2"/>
  <c r="AT49" i="2"/>
  <c r="AK54" i="2"/>
  <c r="M38" i="2"/>
  <c r="AV40" i="2"/>
  <c r="K48" i="2"/>
  <c r="Q45" i="2"/>
  <c r="AV31" i="2"/>
  <c r="AV42" i="2"/>
  <c r="W39" i="2"/>
  <c r="E36" i="2"/>
  <c r="G50" i="2"/>
  <c r="AY42" i="2"/>
  <c r="E34" i="2"/>
  <c r="AO37" i="2"/>
  <c r="AO42" i="2"/>
  <c r="AB39" i="2"/>
  <c r="AT48" i="2"/>
  <c r="AR50" i="2"/>
  <c r="M48" i="2"/>
  <c r="V51" i="2"/>
  <c r="AN46" i="2"/>
  <c r="L53" i="2"/>
  <c r="AJ42" i="2"/>
  <c r="AM38" i="2"/>
  <c r="R46" i="2"/>
  <c r="AS34" i="2"/>
  <c r="AB54" i="2"/>
  <c r="P31" i="2"/>
  <c r="N41" i="2"/>
  <c r="Z33" i="2"/>
  <c r="AY32" i="2"/>
  <c r="AI35" i="2"/>
  <c r="AK42" i="2"/>
  <c r="Q52" i="2"/>
  <c r="AM35" i="2"/>
  <c r="AE30" i="2"/>
  <c r="AV39" i="2"/>
  <c r="P32" i="2"/>
  <c r="T50" i="2"/>
  <c r="S35" i="2"/>
  <c r="AM42" i="2"/>
  <c r="Z39" i="2"/>
  <c r="AR47" i="2"/>
  <c r="AN38" i="2"/>
  <c r="AR44" i="2"/>
  <c r="V42" i="2"/>
  <c r="AC35" i="2"/>
  <c r="G39" i="2"/>
  <c r="U32" i="2"/>
  <c r="AB52" i="2"/>
  <c r="G42" i="2"/>
  <c r="Q51" i="2"/>
  <c r="S39" i="2"/>
  <c r="AE51" i="2"/>
  <c r="F52" i="2"/>
  <c r="G30" i="2"/>
  <c r="Q41" i="2"/>
  <c r="AV51" i="2"/>
  <c r="AK35" i="2"/>
  <c r="AT37" i="2"/>
  <c r="AN48" i="2"/>
  <c r="AD45" i="2"/>
  <c r="G49" i="2"/>
  <c r="AB43" i="2"/>
  <c r="F50" i="2"/>
  <c r="L32" i="2"/>
  <c r="C33" i="2"/>
  <c r="AT45" i="2"/>
  <c r="AE47" i="2"/>
  <c r="AG35" i="2"/>
  <c r="AD34" i="2"/>
  <c r="F35" i="2"/>
  <c r="J41" i="2"/>
  <c r="X42" i="2"/>
  <c r="AW31" i="2"/>
  <c r="L36" i="2"/>
  <c r="AY43" i="2"/>
  <c r="AC44" i="2"/>
  <c r="AJ46" i="2"/>
  <c r="AU35" i="2"/>
  <c r="AQ45" i="2"/>
  <c r="V36" i="2"/>
  <c r="AO51" i="2"/>
  <c r="AF44" i="2"/>
  <c r="H54" i="2"/>
  <c r="AJ37" i="2"/>
  <c r="B41" i="2"/>
  <c r="Q39" i="2"/>
  <c r="AN49" i="2"/>
  <c r="AW43" i="2"/>
  <c r="AP36" i="2"/>
  <c r="Z38" i="2"/>
  <c r="X51" i="2"/>
  <c r="O31" i="2"/>
  <c r="AT35" i="2"/>
  <c r="AA38" i="2"/>
  <c r="P30" i="2"/>
  <c r="T46" i="2"/>
  <c r="AY50" i="2"/>
  <c r="AH53" i="2"/>
  <c r="S40" i="2"/>
  <c r="G32" i="2"/>
  <c r="D47" i="2"/>
  <c r="AN39" i="2"/>
  <c r="E47" i="2"/>
  <c r="AU43" i="2"/>
  <c r="T30" i="2"/>
  <c r="O51" i="2"/>
  <c r="L35" i="2"/>
  <c r="AB37" i="2"/>
  <c r="AY34" i="2"/>
  <c r="J42" i="2"/>
  <c r="AL38" i="2"/>
  <c r="W41" i="2"/>
  <c r="AP50" i="2"/>
  <c r="Q47" i="2"/>
  <c r="AC46" i="2"/>
  <c r="W38" i="2"/>
  <c r="AS41" i="2"/>
  <c r="J33" i="2"/>
  <c r="AL44" i="2"/>
  <c r="AM37" i="2"/>
  <c r="AX37" i="2"/>
  <c r="K31" i="2"/>
  <c r="AU42" i="2"/>
  <c r="G41" i="2"/>
  <c r="L51" i="2"/>
  <c r="AW39" i="2"/>
  <c r="E40" i="2"/>
  <c r="AS35" i="2"/>
  <c r="B52" i="2"/>
  <c r="O30" i="2"/>
  <c r="AH52" i="2"/>
  <c r="AI53" i="2"/>
  <c r="AX42" i="2"/>
  <c r="S43" i="2"/>
  <c r="P45" i="2"/>
  <c r="AG31" i="2"/>
  <c r="I41" i="2"/>
  <c r="H38" i="2"/>
  <c r="AS37" i="2"/>
  <c r="R34" i="2"/>
  <c r="AQ37" i="2"/>
  <c r="M49" i="2"/>
  <c r="U47" i="2"/>
  <c r="AT41" i="2"/>
  <c r="T54" i="2"/>
  <c r="Y42" i="2"/>
  <c r="K47" i="2"/>
  <c r="AK51" i="2"/>
  <c r="AJ39" i="2"/>
  <c r="AR45" i="2"/>
  <c r="U34" i="2"/>
  <c r="AO38" i="2"/>
  <c r="K53" i="2"/>
  <c r="G47" i="2"/>
  <c r="B35" i="2"/>
  <c r="O53" i="2"/>
  <c r="P46" i="2"/>
  <c r="AQ51" i="2"/>
  <c r="L44" i="2"/>
  <c r="K40" i="2"/>
  <c r="N47" i="2"/>
  <c r="AM44" i="2"/>
  <c r="AP38" i="2"/>
  <c r="I37" i="2"/>
  <c r="L47" i="2"/>
  <c r="D38" i="2"/>
  <c r="AU46" i="2"/>
  <c r="P39" i="2"/>
  <c r="X35" i="2"/>
  <c r="O34" i="2"/>
  <c r="AO32" i="2"/>
  <c r="U53" i="2"/>
  <c r="Q43" i="2"/>
  <c r="H42" i="2"/>
  <c r="L38" i="2"/>
  <c r="O44" i="2"/>
  <c r="H43" i="2"/>
  <c r="L49" i="2"/>
  <c r="AU40" i="2"/>
  <c r="J40" i="2"/>
  <c r="J52" i="2"/>
  <c r="AM45" i="2"/>
  <c r="L34" i="2"/>
  <c r="V39" i="2"/>
  <c r="AH51" i="2"/>
  <c r="AF37" i="2"/>
  <c r="AS38" i="2"/>
  <c r="M30" i="2"/>
  <c r="J32" i="2"/>
  <c r="O33" i="2"/>
  <c r="M44" i="2"/>
  <c r="AI48" i="2"/>
  <c r="V45" i="2"/>
  <c r="W54" i="2"/>
  <c r="AK48" i="2"/>
  <c r="AA31" i="2"/>
  <c r="P44" i="2"/>
  <c r="N46" i="2"/>
  <c r="N36" i="2"/>
  <c r="AX40" i="2"/>
  <c r="AM48" i="2"/>
  <c r="P42" i="2"/>
  <c r="AG54" i="2"/>
  <c r="Y36" i="2"/>
  <c r="C31" i="2"/>
  <c r="AG41" i="2"/>
  <c r="AG47" i="2"/>
  <c r="H53" i="2"/>
  <c r="S42" i="2"/>
  <c r="AS53" i="2"/>
  <c r="AK30" i="2"/>
  <c r="M34" i="2"/>
  <c r="AF42" i="2"/>
  <c r="AY31" i="2"/>
  <c r="S48" i="2"/>
  <c r="E54" i="2"/>
  <c r="AS50" i="2"/>
  <c r="S44" i="2"/>
  <c r="X31" i="2"/>
  <c r="F37" i="2"/>
  <c r="AA32" i="2"/>
  <c r="AV37" i="2"/>
  <c r="X49" i="2"/>
  <c r="AU34" i="2"/>
  <c r="Z42" i="2"/>
  <c r="AL42" i="2"/>
  <c r="AG52" i="2"/>
  <c r="AK47" i="2"/>
  <c r="H32" i="2"/>
  <c r="AE52" i="2"/>
  <c r="G35" i="2"/>
  <c r="V47" i="2"/>
  <c r="AG46" i="2"/>
  <c r="I44" i="2"/>
  <c r="AJ54" i="2"/>
  <c r="AG48" i="2"/>
  <c r="AN41" i="2"/>
  <c r="K54" i="2"/>
  <c r="Y40" i="2"/>
  <c r="V54" i="2"/>
  <c r="T36" i="2"/>
  <c r="AD31" i="2"/>
  <c r="AI41" i="2"/>
  <c r="K38" i="2"/>
  <c r="N35" i="2"/>
  <c r="AG50" i="2"/>
  <c r="AW34" i="2"/>
  <c r="AO34" i="2"/>
  <c r="I35" i="2"/>
  <c r="AB50" i="2"/>
  <c r="AN51" i="2"/>
  <c r="AU49" i="2"/>
  <c r="B37" i="2"/>
  <c r="AL46" i="2"/>
  <c r="V41" i="2"/>
  <c r="AL54" i="2"/>
  <c r="O40" i="2"/>
  <c r="P51" i="2"/>
  <c r="AQ46" i="2"/>
  <c r="AG53" i="2"/>
  <c r="AO50" i="2"/>
  <c r="AL51" i="2"/>
  <c r="U41" i="2"/>
  <c r="AN32" i="2"/>
  <c r="C38" i="2"/>
  <c r="AE44" i="2"/>
  <c r="AJ31" i="2"/>
  <c r="J44" i="2"/>
  <c r="AT50" i="2"/>
  <c r="AB42" i="2"/>
  <c r="U43" i="2"/>
  <c r="V38" i="2"/>
  <c r="AE31" i="2"/>
  <c r="AF46" i="2"/>
  <c r="AH39" i="2"/>
  <c r="AD47" i="2"/>
  <c r="AV36" i="2"/>
  <c r="AN30" i="2"/>
  <c r="S52" i="2"/>
  <c r="S32" i="2"/>
  <c r="R32" i="2"/>
  <c r="Q40" i="2"/>
  <c r="X43" i="2"/>
  <c r="AY33" i="2"/>
  <c r="I38" i="2"/>
  <c r="D52" i="2"/>
  <c r="AV38" i="2"/>
  <c r="Z47" i="2"/>
  <c r="AB40" i="2"/>
  <c r="AW33" i="2"/>
  <c r="T37" i="2"/>
  <c r="AP35" i="2"/>
  <c r="R45" i="2"/>
  <c r="B49" i="2"/>
  <c r="AW36" i="2"/>
  <c r="W50" i="2"/>
  <c r="AF31" i="2"/>
  <c r="Z45" i="2"/>
  <c r="AC48" i="2"/>
  <c r="G37" i="2"/>
  <c r="AA49" i="2"/>
  <c r="G53" i="2"/>
  <c r="B38" i="2"/>
  <c r="E37" i="2"/>
  <c r="AT44" i="2"/>
  <c r="D49" i="2"/>
  <c r="L52" i="2"/>
  <c r="W45" i="2"/>
  <c r="G31" i="2"/>
  <c r="T53" i="2"/>
  <c r="AT39" i="2"/>
  <c r="AR41" i="2"/>
  <c r="AV48" i="2"/>
  <c r="Y33" i="2"/>
  <c r="X33" i="2"/>
  <c r="P40" i="2"/>
  <c r="D34" i="2"/>
  <c r="AL39" i="2"/>
  <c r="N50" i="2"/>
  <c r="AT31" i="2"/>
  <c r="Y30" i="2"/>
  <c r="O38" i="2"/>
  <c r="U51" i="2"/>
  <c r="AD46" i="2"/>
  <c r="J37" i="2"/>
  <c r="Q42" i="2"/>
  <c r="P41" i="2"/>
  <c r="AJ49" i="2"/>
  <c r="AA43" i="2"/>
  <c r="B36" i="2"/>
  <c r="AN35" i="2"/>
  <c r="W51" i="2"/>
  <c r="AE45" i="2"/>
  <c r="AX31" i="2"/>
  <c r="I43" i="2"/>
  <c r="AC36" i="2"/>
  <c r="AT36" i="2"/>
  <c r="S51" i="2"/>
  <c r="AD54" i="2"/>
  <c r="D43" i="2"/>
  <c r="AX32" i="2"/>
  <c r="AK36" i="2"/>
  <c r="AX38" i="2"/>
  <c r="AP54" i="2"/>
  <c r="X47" i="2"/>
  <c r="AO48" i="2"/>
  <c r="J45" i="2"/>
  <c r="AU39" i="2"/>
  <c r="H46" i="2"/>
  <c r="U45" i="2"/>
  <c r="M32" i="2"/>
  <c r="E41" i="2"/>
  <c r="AD40" i="2"/>
  <c r="N34" i="2"/>
  <c r="Y49" i="2"/>
  <c r="R53" i="2"/>
  <c r="AR53" i="2"/>
  <c r="F48" i="2"/>
  <c r="AY36" i="2"/>
  <c r="AG34" i="2"/>
  <c r="AO31" i="2"/>
  <c r="AT34" i="2"/>
  <c r="M53" i="2"/>
  <c r="T45" i="2"/>
  <c r="O54" i="2"/>
  <c r="AN44" i="2"/>
  <c r="M39" i="2"/>
  <c r="H44" i="2"/>
  <c r="O46" i="2"/>
  <c r="K32" i="2"/>
  <c r="D50" i="2"/>
  <c r="AH46" i="2"/>
  <c r="AX39" i="2"/>
  <c r="B45" i="2"/>
  <c r="AI51" i="2"/>
  <c r="Z32" i="2"/>
  <c r="AK32" i="2"/>
  <c r="Y51" i="2"/>
  <c r="R44" i="2"/>
  <c r="AB45" i="2"/>
  <c r="AE32" i="2"/>
  <c r="AB30" i="2"/>
  <c r="AF47" i="2"/>
  <c r="V34" i="2"/>
  <c r="AB47" i="2"/>
  <c r="AS39" i="2"/>
  <c r="AX33" i="2"/>
  <c r="W33" i="2"/>
  <c r="AH31" i="2"/>
  <c r="AW45" i="2"/>
  <c r="B34" i="2"/>
  <c r="Y35" i="2"/>
  <c r="U42" i="2"/>
  <c r="B48" i="2"/>
  <c r="AW35" i="2"/>
  <c r="AE41" i="2"/>
  <c r="C36" i="2"/>
  <c r="R30" i="2"/>
  <c r="AD49" i="2"/>
  <c r="N31" i="2"/>
  <c r="O41" i="2"/>
  <c r="AM43" i="2"/>
  <c r="AO54" i="2"/>
  <c r="S34" i="2"/>
  <c r="AS49" i="2"/>
  <c r="S31" i="2"/>
  <c r="Q33" i="2"/>
  <c r="AK44" i="2"/>
  <c r="AY40" i="2"/>
  <c r="AB44" i="2"/>
  <c r="AU51" i="2"/>
  <c r="AV54" i="2"/>
  <c r="F41" i="2"/>
  <c r="AK33" i="2"/>
  <c r="AJ44" i="2"/>
  <c r="AN36" i="2"/>
  <c r="S49" i="2"/>
  <c r="S38" i="2"/>
  <c r="G43" i="2"/>
  <c r="M42" i="2"/>
  <c r="N45" i="2"/>
  <c r="AH30" i="2"/>
  <c r="AP39" i="2"/>
  <c r="AA34" i="2"/>
  <c r="AM32" i="2"/>
  <c r="U38" i="2"/>
  <c r="U54" i="2"/>
  <c r="AJ32" i="2"/>
  <c r="AQ41" i="2"/>
  <c r="AI31" i="2"/>
  <c r="AI52" i="2"/>
  <c r="J53" i="2"/>
  <c r="AK34" i="2"/>
  <c r="AF34" i="2"/>
  <c r="AP45" i="2"/>
  <c r="J46" i="2"/>
  <c r="W31" i="2"/>
  <c r="AO40" i="2"/>
  <c r="AT40" i="2"/>
  <c r="AM47" i="2"/>
  <c r="AG38" i="2"/>
  <c r="G38" i="2"/>
  <c r="AT42" i="2"/>
  <c r="Y32" i="2"/>
  <c r="AF32" i="2"/>
  <c r="C42" i="2"/>
  <c r="J39" i="2"/>
  <c r="D32" i="2"/>
  <c r="AP43" i="2"/>
  <c r="AX45" i="2"/>
  <c r="D36" i="2"/>
  <c r="O32" i="2"/>
  <c r="R40" i="2"/>
  <c r="I46" i="2"/>
  <c r="D46" i="2"/>
  <c r="Z36" i="2"/>
  <c r="AU45" i="2"/>
  <c r="AL41" i="2"/>
  <c r="H37" i="2"/>
  <c r="J38" i="2"/>
  <c r="P38" i="2"/>
  <c r="AJ41" i="2"/>
  <c r="V46" i="2"/>
  <c r="Y50" i="2"/>
  <c r="Y52" i="2"/>
  <c r="AA36" i="2"/>
  <c r="AU30" i="2"/>
  <c r="AD44" i="2"/>
  <c r="AE42" i="2"/>
  <c r="AQ33" i="2"/>
  <c r="P47" i="2"/>
  <c r="AA48" i="2"/>
  <c r="I34" i="2"/>
  <c r="AQ32" i="2"/>
  <c r="AR51" i="2"/>
  <c r="AN33" i="2"/>
  <c r="J31" i="2"/>
  <c r="AP31" i="2"/>
  <c r="B30" i="2"/>
  <c r="AP32" i="2"/>
  <c r="AG37" i="2"/>
  <c r="Y48" i="2"/>
  <c r="AT53" i="2"/>
  <c r="AR42" i="2"/>
  <c r="AV46" i="2"/>
  <c r="Z54" i="2"/>
  <c r="AM41" i="2"/>
  <c r="AO46" i="2"/>
  <c r="Q37" i="2"/>
  <c r="Q50" i="2"/>
  <c r="T31" i="2"/>
  <c r="AD39" i="2"/>
  <c r="AM40" i="2"/>
  <c r="J50" i="2"/>
  <c r="B46" i="2"/>
  <c r="AN37" i="2"/>
  <c r="AP51" i="2"/>
  <c r="AP53" i="2"/>
  <c r="K51" i="2"/>
  <c r="V40" i="2"/>
  <c r="X50" i="2"/>
  <c r="F36" i="2"/>
  <c r="C46" i="2"/>
  <c r="W47" i="2"/>
  <c r="AQ40" i="2"/>
  <c r="I36" i="2"/>
  <c r="N53" i="2"/>
  <c r="AO47" i="2"/>
  <c r="AF43" i="2"/>
  <c r="U46" i="2"/>
  <c r="AS32" i="2"/>
  <c r="D45" i="2"/>
  <c r="AB46" i="2"/>
  <c r="M50" i="2"/>
  <c r="AU50" i="2"/>
  <c r="AX34" i="2"/>
  <c r="C35" i="2"/>
  <c r="AH42" i="2"/>
  <c r="AC42" i="2"/>
  <c r="V30" i="2"/>
  <c r="D31" i="2"/>
  <c r="AX30" i="2"/>
  <c r="L33" i="2"/>
  <c r="R49" i="2"/>
  <c r="V35" i="2"/>
  <c r="AX52" i="2"/>
  <c r="AJ34" i="2"/>
  <c r="AJ33" i="2"/>
  <c r="AF52" i="2"/>
  <c r="U40" i="2"/>
  <c r="I31" i="2"/>
  <c r="B33" i="2"/>
  <c r="D42" i="2"/>
  <c r="AV33" i="2"/>
  <c r="G40" i="2"/>
  <c r="O52" i="2"/>
  <c r="X46" i="2"/>
  <c r="Y54" i="2"/>
  <c r="AU44" i="2"/>
  <c r="AL37" i="2"/>
  <c r="F40" i="2"/>
  <c r="X41" i="2"/>
  <c r="H49" i="2"/>
  <c r="AQ43" i="2"/>
  <c r="AP33" i="2"/>
  <c r="M54" i="2"/>
  <c r="N30" i="2"/>
  <c r="AS44" i="2"/>
  <c r="K34" i="2"/>
  <c r="AE43" i="2"/>
  <c r="T44" i="2"/>
  <c r="E53" i="2"/>
  <c r="AI54" i="2"/>
  <c r="AL45" i="2"/>
  <c r="AE40" i="2"/>
  <c r="AU48" i="2"/>
  <c r="AI36" i="2"/>
  <c r="AT33" i="2"/>
  <c r="X30" i="2"/>
  <c r="AD32" i="2"/>
  <c r="AB41" i="2"/>
  <c r="G33" i="2"/>
  <c r="R36" i="2"/>
  <c r="AE38" i="2"/>
  <c r="S30" i="2"/>
  <c r="AC43" i="2"/>
  <c r="R48" i="2"/>
  <c r="M33" i="2"/>
  <c r="AP46" i="2"/>
  <c r="AO41" i="2"/>
  <c r="AJ52" i="2"/>
  <c r="AX43" i="2"/>
  <c r="T32" i="2"/>
  <c r="V52" i="2"/>
  <c r="S50" i="2"/>
  <c r="AY52" i="2"/>
  <c r="AE48" i="2"/>
  <c r="R41" i="2"/>
  <c r="AI47" i="2"/>
  <c r="AF54" i="2"/>
  <c r="AM53" i="2"/>
  <c r="AR31" i="2"/>
  <c r="T39" i="2"/>
  <c r="E48" i="2"/>
  <c r="Q31" i="2"/>
  <c r="X52" i="2"/>
  <c r="B54" i="2"/>
  <c r="K33" i="2"/>
  <c r="AK52" i="2"/>
  <c r="AU54" i="2"/>
  <c r="E43" i="2"/>
  <c r="M51" i="2"/>
  <c r="AS30" i="2"/>
  <c r="AB38" i="2"/>
  <c r="AU32" i="2"/>
  <c r="C30" i="2"/>
  <c r="AV44" i="2"/>
  <c r="J48" i="2"/>
  <c r="AB31" i="2"/>
  <c r="H50" i="2"/>
  <c r="T52" i="2"/>
  <c r="AW37" i="2"/>
  <c r="AE46" i="2"/>
  <c r="X54" i="2"/>
  <c r="C48" i="2"/>
  <c r="Q38" i="2"/>
  <c r="F43" i="2"/>
  <c r="X32" i="2"/>
  <c r="AS52" i="2"/>
  <c r="AA44" i="2"/>
  <c r="P34" i="2"/>
  <c r="AQ35" i="2"/>
  <c r="AT51" i="2"/>
  <c r="AQ50" i="2"/>
  <c r="R33" i="2"/>
  <c r="AC50" i="2"/>
  <c r="AO45" i="2"/>
  <c r="S45" i="2"/>
  <c r="AG51" i="2"/>
  <c r="AC52" i="2"/>
  <c r="AT47" i="2"/>
  <c r="D44" i="2"/>
  <c r="Z40" i="2"/>
  <c r="AI39" i="2"/>
  <c r="Z46" i="2"/>
  <c r="AD42" i="2"/>
  <c r="B53" i="2"/>
  <c r="K50" i="2"/>
  <c r="AT30" i="2"/>
  <c r="AL32" i="2"/>
  <c r="O50" i="2"/>
  <c r="AO49" i="2"/>
  <c r="X53" i="2"/>
  <c r="I45" i="2"/>
  <c r="K44" i="2"/>
  <c r="AY35" i="2"/>
  <c r="V33" i="2"/>
  <c r="H48" i="2"/>
  <c r="AG44" i="2"/>
  <c r="M45" i="2"/>
  <c r="AR33" i="2"/>
  <c r="AI34" i="2"/>
  <c r="M31" i="2"/>
  <c r="AL30" i="2"/>
  <c r="AF33" i="2"/>
  <c r="AM34" i="2"/>
  <c r="AJ38" i="2"/>
  <c r="AA41" i="2"/>
  <c r="AO52" i="2"/>
  <c r="W49" i="2"/>
  <c r="AX47" i="2"/>
  <c r="C52" i="2"/>
  <c r="AW38" i="2"/>
  <c r="L42" i="2"/>
  <c r="AW51" i="2"/>
  <c r="S33" i="2"/>
  <c r="C34" i="2"/>
  <c r="AV43" i="2"/>
  <c r="E45" i="2"/>
  <c r="J36" i="2"/>
  <c r="C53" i="2"/>
  <c r="AC53" i="2"/>
  <c r="AH36" i="2"/>
  <c r="AC30" i="2"/>
  <c r="H39" i="2"/>
  <c r="F30" i="2"/>
  <c r="AQ39" i="2"/>
  <c r="AF35" i="2"/>
  <c r="K30" i="2"/>
  <c r="W36" i="2"/>
  <c r="F49" i="2"/>
  <c r="AA30" i="2"/>
  <c r="V48" i="2"/>
  <c r="AD33" i="2"/>
  <c r="H36" i="2"/>
  <c r="AU36" i="2"/>
  <c r="AD36" i="2"/>
  <c r="N44" i="2"/>
  <c r="Q54" i="2"/>
  <c r="C39" i="2"/>
  <c r="AP40" i="2"/>
  <c r="AM52" i="2"/>
  <c r="AY49" i="2"/>
  <c r="D51" i="2"/>
  <c r="AU47" i="2"/>
  <c r="AM49" i="2"/>
  <c r="K37" i="2"/>
  <c r="AE33" i="2"/>
  <c r="N52" i="2"/>
  <c r="AD37" i="2"/>
  <c r="W53" i="2"/>
  <c r="AR39" i="2"/>
  <c r="R54" i="2"/>
  <c r="AE50" i="2"/>
  <c r="Y53" i="2"/>
  <c r="AC38" i="2"/>
  <c r="G36" i="2"/>
  <c r="W37" i="2"/>
  <c r="L54" i="2"/>
  <c r="AA35" i="2"/>
  <c r="T34" i="2"/>
  <c r="G46" i="2"/>
  <c r="I48" i="2"/>
  <c r="AA47" i="2"/>
  <c r="AF51" i="2"/>
  <c r="E44" i="2"/>
  <c r="M47" i="2"/>
  <c r="Z53" i="2"/>
  <c r="K45" i="2"/>
  <c r="U37" i="2"/>
  <c r="U48" i="2"/>
  <c r="AC45" i="2"/>
  <c r="AI37" i="2"/>
  <c r="AB48" i="2"/>
  <c r="H47" i="2"/>
  <c r="AK53" i="2"/>
  <c r="Z48" i="2"/>
  <c r="AV45" i="2"/>
  <c r="AJ51" i="2"/>
  <c r="AO36" i="2"/>
  <c r="T51" i="2"/>
  <c r="AO43" i="2"/>
  <c r="L46" i="2"/>
  <c r="AQ53" i="2"/>
  <c r="AV49" i="2"/>
  <c r="D33" i="2"/>
  <c r="N33" i="2"/>
  <c r="N43" i="2"/>
  <c r="AD30" i="2"/>
  <c r="AV34" i="2"/>
  <c r="AC41" i="2"/>
  <c r="AH49" i="2"/>
  <c r="AU37" i="2"/>
  <c r="AJ43" i="2"/>
  <c r="AL35" i="2"/>
  <c r="H41" i="2"/>
  <c r="AD50" i="2"/>
  <c r="O49" i="2"/>
  <c r="AG30" i="2"/>
  <c r="X38" i="2"/>
  <c r="L31" i="2"/>
  <c r="N51" i="2"/>
  <c r="AU41" i="2"/>
  <c r="X44" i="2"/>
  <c r="AQ34" i="2"/>
  <c r="AC49" i="2"/>
  <c r="AW54" i="2"/>
  <c r="AF39" i="2"/>
  <c r="AK43" i="2"/>
  <c r="F45" i="2"/>
  <c r="AX36" i="2"/>
  <c r="E35" i="2"/>
  <c r="L50" i="2"/>
  <c r="AB34" i="2"/>
  <c r="B31" i="2"/>
  <c r="AN43" i="2"/>
  <c r="Q48" i="2"/>
  <c r="Q53" i="2"/>
  <c r="AA53" i="2"/>
  <c r="B39" i="2"/>
  <c r="J35" i="2"/>
  <c r="P37" i="2"/>
  <c r="AX54" i="2"/>
  <c r="G51" i="2"/>
  <c r="T49" i="2"/>
  <c r="AW32" i="2"/>
  <c r="AJ47" i="2"/>
  <c r="AK50" i="2"/>
  <c r="L39" i="2"/>
  <c r="AK59" i="2" l="1"/>
  <c r="AW62" i="2"/>
  <c r="J56" i="2"/>
  <c r="B61" i="2"/>
  <c r="AB66" i="2"/>
  <c r="AB64" i="2"/>
  <c r="L59" i="2"/>
  <c r="E56" i="2"/>
  <c r="F58" i="2"/>
  <c r="AQ66" i="2"/>
  <c r="AQ64" i="2"/>
  <c r="L61" i="2"/>
  <c r="AG55" i="2"/>
  <c r="AG65" i="2"/>
  <c r="AG60" i="2"/>
  <c r="AD59" i="2"/>
  <c r="AL56" i="2"/>
  <c r="AV64" i="2"/>
  <c r="AV66" i="2"/>
  <c r="AD55" i="2"/>
  <c r="AD60" i="2"/>
  <c r="AD65" i="2"/>
  <c r="N63" i="2"/>
  <c r="D63" i="2"/>
  <c r="AV58" i="2"/>
  <c r="AC58" i="2"/>
  <c r="K58" i="2"/>
  <c r="T66" i="2"/>
  <c r="T64" i="2"/>
  <c r="AA56" i="2"/>
  <c r="AE59" i="2"/>
  <c r="AE63" i="2"/>
  <c r="AP57" i="2"/>
  <c r="AD63" i="2"/>
  <c r="AA55" i="2"/>
  <c r="AA65" i="2"/>
  <c r="AA60" i="2"/>
  <c r="K55" i="2"/>
  <c r="K60" i="2"/>
  <c r="K65" i="2"/>
  <c r="AF56" i="2"/>
  <c r="F60" i="2"/>
  <c r="F65" i="2"/>
  <c r="F55" i="2"/>
  <c r="AC65" i="2"/>
  <c r="AC60" i="2"/>
  <c r="AC55" i="2"/>
  <c r="E58" i="2"/>
  <c r="C66" i="2"/>
  <c r="C64" i="2"/>
  <c r="S63" i="2"/>
  <c r="AM64" i="2"/>
  <c r="AM66" i="2"/>
  <c r="AF63" i="2"/>
  <c r="AL65" i="2"/>
  <c r="AL55" i="2"/>
  <c r="AL60" i="2"/>
  <c r="M61" i="2"/>
  <c r="AI66" i="2"/>
  <c r="AI64" i="2"/>
  <c r="AR63" i="2"/>
  <c r="M58" i="2"/>
  <c r="V63" i="2"/>
  <c r="AY56" i="2"/>
  <c r="I58" i="2"/>
  <c r="O59" i="2"/>
  <c r="AL62" i="2"/>
  <c r="AT55" i="2"/>
  <c r="AT60" i="2"/>
  <c r="AT65" i="2"/>
  <c r="K59" i="2"/>
  <c r="Z57" i="2"/>
  <c r="S58" i="2"/>
  <c r="AO58" i="2"/>
  <c r="AC59" i="2"/>
  <c r="R63" i="2"/>
  <c r="AQ59" i="2"/>
  <c r="AQ56" i="2"/>
  <c r="P64" i="2"/>
  <c r="P66" i="2"/>
  <c r="X62" i="2"/>
  <c r="H59" i="2"/>
  <c r="AB61" i="2"/>
  <c r="C55" i="2"/>
  <c r="C65" i="2"/>
  <c r="C60" i="2"/>
  <c r="AU62" i="2"/>
  <c r="AS65" i="2"/>
  <c r="AS55" i="2"/>
  <c r="AS60" i="2"/>
  <c r="K63" i="2"/>
  <c r="Q61" i="2"/>
  <c r="AR61" i="2"/>
  <c r="S59" i="2"/>
  <c r="T62" i="2"/>
  <c r="M63" i="2"/>
  <c r="S65" i="2"/>
  <c r="S55" i="2"/>
  <c r="S60" i="2"/>
  <c r="G63" i="2"/>
  <c r="AD62" i="2"/>
  <c r="X55" i="2"/>
  <c r="X65" i="2"/>
  <c r="X60" i="2"/>
  <c r="AT63" i="2"/>
  <c r="AE57" i="2"/>
  <c r="AL58" i="2"/>
  <c r="K64" i="2"/>
  <c r="K66" i="2"/>
  <c r="N55" i="2"/>
  <c r="N60" i="2"/>
  <c r="N65" i="2"/>
  <c r="AP63" i="2"/>
  <c r="F57" i="2"/>
  <c r="G57" i="2"/>
  <c r="AV63" i="2"/>
  <c r="B63" i="2"/>
  <c r="I61" i="2"/>
  <c r="U57" i="2"/>
  <c r="AJ63" i="2"/>
  <c r="AJ64" i="2"/>
  <c r="AJ66" i="2"/>
  <c r="V56" i="2"/>
  <c r="L63" i="2"/>
  <c r="AX55" i="2"/>
  <c r="AX60" i="2"/>
  <c r="AX65" i="2"/>
  <c r="D61" i="2"/>
  <c r="V60" i="2"/>
  <c r="V65" i="2"/>
  <c r="V55" i="2"/>
  <c r="C56" i="2"/>
  <c r="AX64" i="2"/>
  <c r="AX66" i="2"/>
  <c r="AU59" i="2"/>
  <c r="M59" i="2"/>
  <c r="D58" i="2"/>
  <c r="AS62" i="2"/>
  <c r="AQ57" i="2"/>
  <c r="X59" i="2"/>
  <c r="V57" i="2"/>
  <c r="J59" i="2"/>
  <c r="AM57" i="2"/>
  <c r="T61" i="2"/>
  <c r="Q59" i="2"/>
  <c r="AP62" i="2"/>
  <c r="B55" i="2"/>
  <c r="B60" i="2"/>
  <c r="B65" i="2"/>
  <c r="AP61" i="2"/>
  <c r="J61" i="2"/>
  <c r="AN63" i="2"/>
  <c r="AQ62" i="2"/>
  <c r="I66" i="2"/>
  <c r="I64" i="2"/>
  <c r="AQ63" i="2"/>
  <c r="AU60" i="2"/>
  <c r="AU65" i="2"/>
  <c r="AU55" i="2"/>
  <c r="Y59" i="2"/>
  <c r="AU58" i="2"/>
  <c r="R57" i="2"/>
  <c r="O62" i="2"/>
  <c r="AX58" i="2"/>
  <c r="D62" i="2"/>
  <c r="AF62" i="2"/>
  <c r="Y62" i="2"/>
  <c r="AT57" i="2"/>
  <c r="AO57" i="2"/>
  <c r="W61" i="2"/>
  <c r="AP58" i="2"/>
  <c r="AF66" i="2"/>
  <c r="AF64" i="2"/>
  <c r="AK64" i="2"/>
  <c r="AK66" i="2"/>
  <c r="AI61" i="2"/>
  <c r="AJ62" i="2"/>
  <c r="AM62" i="2"/>
  <c r="AA66" i="2"/>
  <c r="AA64" i="2"/>
  <c r="AH60" i="2"/>
  <c r="AH65" i="2"/>
  <c r="AH55" i="2"/>
  <c r="N58" i="2"/>
  <c r="AK63" i="2"/>
  <c r="AY57" i="2"/>
  <c r="Q63" i="2"/>
  <c r="S61" i="2"/>
  <c r="S66" i="2"/>
  <c r="S64" i="2"/>
  <c r="N61" i="2"/>
  <c r="R65" i="2"/>
  <c r="R60" i="2"/>
  <c r="R55" i="2"/>
  <c r="AW56" i="2"/>
  <c r="Y56" i="2"/>
  <c r="B64" i="2"/>
  <c r="B66" i="2"/>
  <c r="AW58" i="2"/>
  <c r="AH61" i="2"/>
  <c r="W63" i="2"/>
  <c r="AX63" i="2"/>
  <c r="V66" i="2"/>
  <c r="V64" i="2"/>
  <c r="AB55" i="2"/>
  <c r="AB60" i="2"/>
  <c r="AB65" i="2"/>
  <c r="AE62" i="2"/>
  <c r="AB58" i="2"/>
  <c r="AK62" i="2"/>
  <c r="Z62" i="2"/>
  <c r="B58" i="2"/>
  <c r="D59" i="2"/>
  <c r="K62" i="2"/>
  <c r="T58" i="2"/>
  <c r="AT66" i="2"/>
  <c r="AT64" i="2"/>
  <c r="AO61" i="2"/>
  <c r="AG66" i="2"/>
  <c r="AG64" i="2"/>
  <c r="N64" i="2"/>
  <c r="N66" i="2"/>
  <c r="AD57" i="2"/>
  <c r="M62" i="2"/>
  <c r="U58" i="2"/>
  <c r="J58" i="2"/>
  <c r="AX62" i="2"/>
  <c r="AX61" i="2"/>
  <c r="AE58" i="2"/>
  <c r="AN56" i="2"/>
  <c r="Y60" i="2"/>
  <c r="Y65" i="2"/>
  <c r="Y55" i="2"/>
  <c r="AT61" i="2"/>
  <c r="N59" i="2"/>
  <c r="D66" i="2"/>
  <c r="D64" i="2"/>
  <c r="P57" i="2"/>
  <c r="X63" i="2"/>
  <c r="Y63" i="2"/>
  <c r="G61" i="2"/>
  <c r="W58" i="2"/>
  <c r="Z58" i="2"/>
  <c r="AF61" i="2"/>
  <c r="W59" i="2"/>
  <c r="R58" i="2"/>
  <c r="AP56" i="2"/>
  <c r="AW63" i="2"/>
  <c r="AB57" i="2"/>
  <c r="AY63" i="2"/>
  <c r="Q57" i="2"/>
  <c r="R62" i="2"/>
  <c r="S62" i="2"/>
  <c r="AN65" i="2"/>
  <c r="AN55" i="2"/>
  <c r="AN60" i="2"/>
  <c r="AE61" i="2"/>
  <c r="AT59" i="2"/>
  <c r="AJ61" i="2"/>
  <c r="AN62" i="2"/>
  <c r="AO59" i="2"/>
  <c r="O57" i="2"/>
  <c r="AB59" i="2"/>
  <c r="I56" i="2"/>
  <c r="AO64" i="2"/>
  <c r="AO66" i="2"/>
  <c r="AW66" i="2"/>
  <c r="AW64" i="2"/>
  <c r="AG59" i="2"/>
  <c r="N56" i="2"/>
  <c r="AD61" i="2"/>
  <c r="Y57" i="2"/>
  <c r="G56" i="2"/>
  <c r="H62" i="2"/>
  <c r="AU66" i="2"/>
  <c r="AU64" i="2"/>
  <c r="AA62" i="2"/>
  <c r="X61" i="2"/>
  <c r="AS59" i="2"/>
  <c r="AY61" i="2"/>
  <c r="M64" i="2"/>
  <c r="M66" i="2"/>
  <c r="AK65" i="2"/>
  <c r="AK55" i="2"/>
  <c r="AK60" i="2"/>
  <c r="C61" i="2"/>
  <c r="AX57" i="2"/>
  <c r="AA61" i="2"/>
  <c r="V58" i="2"/>
  <c r="O63" i="2"/>
  <c r="J62" i="2"/>
  <c r="M55" i="2"/>
  <c r="M65" i="2"/>
  <c r="M60" i="2"/>
  <c r="L64" i="2"/>
  <c r="L66" i="2"/>
  <c r="AM58" i="2"/>
  <c r="J57" i="2"/>
  <c r="AU57" i="2"/>
  <c r="AO62" i="2"/>
  <c r="O66" i="2"/>
  <c r="O64" i="2"/>
  <c r="X56" i="2"/>
  <c r="K57" i="2"/>
  <c r="B56" i="2"/>
  <c r="U66" i="2"/>
  <c r="U64" i="2"/>
  <c r="AR58" i="2"/>
  <c r="R66" i="2"/>
  <c r="R64" i="2"/>
  <c r="AG61" i="2"/>
  <c r="P58" i="2"/>
  <c r="O55" i="2"/>
  <c r="O60" i="2"/>
  <c r="O65" i="2"/>
  <c r="AS56" i="2"/>
  <c r="E57" i="2"/>
  <c r="K61" i="2"/>
  <c r="J63" i="2"/>
  <c r="AP59" i="2"/>
  <c r="AY66" i="2"/>
  <c r="AY64" i="2"/>
  <c r="L56" i="2"/>
  <c r="T65" i="2"/>
  <c r="T60" i="2"/>
  <c r="T55" i="2"/>
  <c r="G62" i="2"/>
  <c r="S57" i="2"/>
  <c r="AY59" i="2"/>
  <c r="P55" i="2"/>
  <c r="P60" i="2"/>
  <c r="P65" i="2"/>
  <c r="AT56" i="2"/>
  <c r="O61" i="2"/>
  <c r="AQ58" i="2"/>
  <c r="AU56" i="2"/>
  <c r="AW61" i="2"/>
  <c r="F56" i="2"/>
  <c r="AD66" i="2"/>
  <c r="AD64" i="2"/>
  <c r="AG56" i="2"/>
  <c r="AT58" i="2"/>
  <c r="C63" i="2"/>
  <c r="L62" i="2"/>
  <c r="F59" i="2"/>
  <c r="AD58" i="2"/>
  <c r="AK56" i="2"/>
  <c r="G55" i="2"/>
  <c r="G60" i="2"/>
  <c r="G65" i="2"/>
  <c r="U62" i="2"/>
  <c r="AC56" i="2"/>
  <c r="S56" i="2"/>
  <c r="T59" i="2"/>
  <c r="P62" i="2"/>
  <c r="AE55" i="2"/>
  <c r="AE60" i="2"/>
  <c r="AE65" i="2"/>
  <c r="AM56" i="2"/>
  <c r="AI56" i="2"/>
  <c r="AY62" i="2"/>
  <c r="Z63" i="2"/>
  <c r="P61" i="2"/>
  <c r="AS66" i="2"/>
  <c r="AS64" i="2"/>
  <c r="AR59" i="2"/>
  <c r="E66" i="2"/>
  <c r="E64" i="2"/>
  <c r="G59" i="2"/>
  <c r="AV61" i="2"/>
  <c r="Q58" i="2"/>
  <c r="AV57" i="2"/>
  <c r="P59" i="2"/>
  <c r="Z66" i="2"/>
  <c r="Z64" i="2"/>
  <c r="AK57" i="2"/>
  <c r="AB63" i="2"/>
  <c r="T56" i="2"/>
  <c r="I63" i="2"/>
  <c r="AT62" i="2"/>
  <c r="W56" i="2"/>
  <c r="AN61" i="2"/>
  <c r="AH63" i="2"/>
  <c r="C57" i="2"/>
  <c r="AI57" i="2"/>
  <c r="Z61" i="2"/>
  <c r="AS61" i="2"/>
  <c r="AM59" i="2"/>
  <c r="O56" i="2"/>
  <c r="V62" i="2"/>
  <c r="X58" i="2"/>
  <c r="AO63" i="2"/>
  <c r="Q60" i="2"/>
  <c r="Q65" i="2"/>
  <c r="Q55" i="2"/>
  <c r="Y58" i="2"/>
  <c r="Q56" i="2"/>
  <c r="V59" i="2"/>
  <c r="P63" i="2"/>
  <c r="AR55" i="2"/>
  <c r="AR65" i="2"/>
  <c r="AR60" i="2"/>
  <c r="Z55" i="2"/>
  <c r="Z60" i="2"/>
  <c r="Z65" i="2"/>
  <c r="D57" i="2"/>
  <c r="AH62" i="2"/>
  <c r="L58" i="2"/>
  <c r="Y61" i="2"/>
  <c r="AY58" i="2"/>
  <c r="H58" i="2"/>
  <c r="T57" i="2"/>
  <c r="AC61" i="2"/>
  <c r="AI60" i="2"/>
  <c r="AI55" i="2"/>
  <c r="AI65" i="2"/>
  <c r="E55" i="2"/>
  <c r="E65" i="2"/>
  <c r="E60" i="2"/>
  <c r="H61" i="2"/>
  <c r="C59" i="2"/>
  <c r="E59" i="2"/>
  <c r="AG57" i="2"/>
  <c r="AR62" i="2"/>
  <c r="AH57" i="2"/>
  <c r="W65" i="2"/>
  <c r="W55" i="2"/>
  <c r="W60" i="2"/>
  <c r="Z59" i="2"/>
  <c r="AB62" i="2"/>
  <c r="U63" i="2"/>
  <c r="AL61" i="2"/>
  <c r="M56" i="2"/>
  <c r="AJ56" i="2"/>
  <c r="AG58" i="2"/>
  <c r="AV65" i="2"/>
  <c r="AV55" i="2"/>
  <c r="AV60" i="2"/>
  <c r="AB56" i="2"/>
  <c r="AI62" i="2"/>
  <c r="F61" i="2"/>
  <c r="AO56" i="2"/>
  <c r="Y64" i="2"/>
  <c r="Y66" i="2"/>
  <c r="AN66" i="2"/>
  <c r="AN64" i="2"/>
  <c r="W57" i="2"/>
  <c r="L57" i="2"/>
  <c r="E61" i="2"/>
  <c r="AI59" i="2"/>
  <c r="AM63" i="2"/>
  <c r="AH66" i="2"/>
  <c r="AH64" i="2"/>
  <c r="I55" i="2"/>
  <c r="I60" i="2"/>
  <c r="I65" i="2"/>
  <c r="T63" i="2"/>
  <c r="AK61" i="2"/>
  <c r="H57" i="2"/>
  <c r="AP64" i="2"/>
  <c r="AP66" i="2"/>
  <c r="AN58" i="2"/>
  <c r="AC57" i="2"/>
  <c r="AR57" i="2"/>
  <c r="AY65" i="2"/>
  <c r="AY55" i="2"/>
  <c r="AY60" i="2"/>
  <c r="AF58" i="2"/>
  <c r="AH59" i="2"/>
  <c r="M57" i="2"/>
  <c r="F62" i="2"/>
  <c r="AR56" i="2"/>
  <c r="F63" i="2"/>
  <c r="AM61" i="2"/>
  <c r="AH58" i="2"/>
  <c r="J55" i="2"/>
  <c r="J65" i="2"/>
  <c r="J60" i="2"/>
  <c r="I59" i="2"/>
  <c r="U61" i="2"/>
  <c r="H56" i="2"/>
  <c r="R56" i="2"/>
  <c r="B59" i="2"/>
  <c r="AI63" i="2"/>
  <c r="B62" i="2"/>
  <c r="AJ59" i="2"/>
  <c r="D60" i="2"/>
  <c r="D65" i="2"/>
  <c r="D55" i="2"/>
  <c r="AW59" i="2"/>
  <c r="W64" i="2"/>
  <c r="W66" i="2"/>
  <c r="U59" i="2"/>
  <c r="AC62" i="2"/>
  <c r="AL64" i="2"/>
  <c r="AL66" i="2"/>
  <c r="AA63" i="2"/>
  <c r="F66" i="2"/>
  <c r="F64" i="2"/>
  <c r="E63" i="2"/>
  <c r="P56" i="2"/>
  <c r="AF59" i="2"/>
  <c r="AU61" i="2"/>
  <c r="AA57" i="2"/>
  <c r="AI58" i="2"/>
  <c r="AQ55" i="2"/>
  <c r="AQ65" i="2"/>
  <c r="AQ60" i="2"/>
  <c r="AQ61" i="2"/>
  <c r="AV62" i="2"/>
  <c r="AP55" i="2"/>
  <c r="AP65" i="2"/>
  <c r="AP60" i="2"/>
  <c r="N62" i="2"/>
  <c r="AF60" i="2"/>
  <c r="AF65" i="2"/>
  <c r="AF55" i="2"/>
  <c r="AE64" i="2"/>
  <c r="AE66" i="2"/>
  <c r="AN59" i="2"/>
  <c r="W62" i="2"/>
  <c r="H64" i="2"/>
  <c r="H66" i="2"/>
  <c r="U56" i="2"/>
  <c r="AV59" i="2"/>
  <c r="AU63" i="2"/>
  <c r="E62" i="2"/>
  <c r="G58" i="2"/>
  <c r="O58" i="2"/>
  <c r="AN57" i="2"/>
  <c r="AG63" i="2"/>
  <c r="I62" i="2"/>
  <c r="AA58" i="2"/>
  <c r="AS57" i="2"/>
  <c r="AO55" i="2"/>
  <c r="AO60" i="2"/>
  <c r="AO65" i="2"/>
  <c r="AL57" i="2"/>
  <c r="AX59" i="2"/>
  <c r="J64" i="2"/>
  <c r="J66" i="2"/>
  <c r="Q66" i="2"/>
  <c r="Q64" i="2"/>
  <c r="X57" i="2"/>
  <c r="AK58" i="2"/>
  <c r="L65" i="2"/>
  <c r="L55" i="2"/>
  <c r="L60" i="2"/>
  <c r="AJ65" i="2"/>
  <c r="AJ55" i="2"/>
  <c r="AJ60" i="2"/>
  <c r="R61" i="2"/>
  <c r="I57" i="2"/>
  <c r="U55" i="2"/>
  <c r="U60" i="2"/>
  <c r="U65" i="2"/>
  <c r="Q62" i="2"/>
  <c r="B57" i="2"/>
  <c r="AA59" i="2"/>
  <c r="C58" i="2"/>
  <c r="AD56" i="2"/>
  <c r="AE56" i="2"/>
  <c r="AS63" i="2"/>
  <c r="AF57" i="2"/>
  <c r="Z56" i="2"/>
  <c r="N57" i="2"/>
  <c r="AW55" i="2"/>
  <c r="AW60" i="2"/>
  <c r="AW65" i="2"/>
  <c r="AH56" i="2"/>
  <c r="C62" i="2"/>
  <c r="AR66" i="2"/>
  <c r="AR64" i="2"/>
  <c r="V61" i="2"/>
  <c r="AL63" i="2"/>
  <c r="H63" i="2"/>
  <c r="AM65" i="2"/>
  <c r="AM60" i="2"/>
  <c r="AM55" i="2"/>
  <c r="K56" i="2"/>
  <c r="H55" i="2"/>
  <c r="H65" i="2"/>
  <c r="H60" i="2"/>
  <c r="D56" i="2"/>
  <c r="AJ57" i="2"/>
  <c r="AS58" i="2"/>
  <c r="AW57" i="2"/>
  <c r="G64" i="2"/>
  <c r="G66" i="2"/>
  <c r="AV56" i="2"/>
  <c r="AJ58" i="2"/>
  <c r="AL59" i="2"/>
  <c r="X66" i="2"/>
  <c r="X64" i="2"/>
  <c r="AC64" i="2"/>
  <c r="AC66" i="2"/>
  <c r="AG62" i="2"/>
  <c r="AC63" i="2"/>
  <c r="AX56" i="2"/>
  <c r="R59" i="2"/>
  <c r="G73" i="2" l="1"/>
  <c r="F73" i="2"/>
  <c r="H73" i="2"/>
  <c r="F71" i="2"/>
  <c r="H71" i="2"/>
  <c r="G71" i="2"/>
  <c r="F95" i="2"/>
  <c r="H95" i="2"/>
  <c r="G95" i="2"/>
  <c r="H74" i="2"/>
  <c r="G74" i="2"/>
  <c r="F74" i="2"/>
  <c r="H83" i="2"/>
  <c r="G83" i="2"/>
  <c r="F83" i="2"/>
  <c r="C72" i="2"/>
  <c r="D72" i="2"/>
  <c r="E72" i="2"/>
  <c r="H72" i="2"/>
  <c r="F72" i="2"/>
  <c r="G72" i="2"/>
  <c r="D88" i="2"/>
  <c r="C88" i="2"/>
  <c r="E88" i="2"/>
  <c r="C75" i="2"/>
  <c r="E75" i="2"/>
  <c r="D75" i="2"/>
  <c r="H85" i="2"/>
  <c r="G85" i="2"/>
  <c r="F85" i="2"/>
  <c r="H88" i="2"/>
  <c r="F88" i="2"/>
  <c r="G88" i="2"/>
  <c r="C93" i="2"/>
  <c r="E93" i="2"/>
  <c r="D93" i="2"/>
  <c r="C89" i="2"/>
  <c r="D89" i="2"/>
  <c r="E89" i="2"/>
  <c r="D73" i="2"/>
  <c r="C73" i="2"/>
  <c r="E73" i="2"/>
  <c r="D85" i="2"/>
  <c r="E85" i="2"/>
  <c r="C85" i="2"/>
  <c r="F90" i="2"/>
  <c r="G90" i="2"/>
  <c r="H90" i="2"/>
  <c r="E91" i="2"/>
  <c r="C91" i="2"/>
  <c r="D91" i="2"/>
  <c r="G81" i="2"/>
  <c r="H81" i="2"/>
  <c r="F81" i="2"/>
  <c r="F87" i="2"/>
  <c r="G87" i="2"/>
  <c r="H87" i="2"/>
  <c r="E83" i="2"/>
  <c r="D83" i="2"/>
  <c r="C83" i="2"/>
  <c r="E78" i="2"/>
  <c r="D78" i="2"/>
  <c r="C78" i="2"/>
  <c r="E82" i="2"/>
  <c r="C82" i="2"/>
  <c r="D82" i="2"/>
  <c r="C94" i="2"/>
  <c r="E94" i="2"/>
  <c r="D94" i="2"/>
  <c r="E71" i="2"/>
  <c r="F82" i="2"/>
  <c r="G82" i="2"/>
  <c r="H82" i="2"/>
  <c r="D95" i="2"/>
  <c r="C95" i="2"/>
  <c r="E95" i="2"/>
  <c r="G92" i="2"/>
  <c r="F92" i="2"/>
  <c r="H92" i="2"/>
  <c r="F78" i="2"/>
  <c r="G78" i="2"/>
  <c r="H78" i="2"/>
  <c r="G84" i="2"/>
  <c r="F84" i="2"/>
  <c r="H84" i="2"/>
  <c r="D92" i="2"/>
  <c r="C92" i="2"/>
  <c r="E92" i="2"/>
  <c r="G76" i="2"/>
  <c r="H76" i="2"/>
  <c r="F76" i="2"/>
  <c r="F94" i="2"/>
  <c r="G94" i="2"/>
  <c r="H94" i="2"/>
  <c r="E90" i="2"/>
  <c r="C90" i="2"/>
  <c r="D90" i="2"/>
  <c r="D87" i="2"/>
  <c r="C87" i="2"/>
  <c r="E87" i="2"/>
  <c r="F93" i="2"/>
  <c r="H93" i="2"/>
  <c r="G93" i="2"/>
  <c r="C71" i="2"/>
  <c r="D71" i="2"/>
  <c r="D74" i="2"/>
  <c r="C74" i="2"/>
  <c r="E74" i="2"/>
  <c r="G80" i="2"/>
  <c r="F80" i="2"/>
  <c r="H80" i="2"/>
  <c r="G91" i="2"/>
  <c r="F91" i="2"/>
  <c r="H91" i="2"/>
  <c r="C80" i="2"/>
  <c r="E80" i="2"/>
  <c r="D80" i="2"/>
  <c r="C79" i="2"/>
  <c r="D79" i="2"/>
  <c r="E79" i="2"/>
  <c r="E77" i="2"/>
  <c r="C77" i="2"/>
  <c r="D77" i="2"/>
  <c r="F79" i="2"/>
  <c r="H79" i="2"/>
  <c r="G79" i="2"/>
  <c r="F75" i="2"/>
  <c r="H75" i="2"/>
  <c r="G75" i="2"/>
  <c r="C81" i="2"/>
  <c r="E81" i="2"/>
  <c r="D81" i="2"/>
  <c r="D76" i="2"/>
  <c r="C76" i="2"/>
  <c r="E76" i="2"/>
  <c r="H89" i="2"/>
  <c r="F89" i="2"/>
  <c r="G89" i="2"/>
  <c r="C86" i="2"/>
  <c r="E86" i="2"/>
  <c r="D86" i="2"/>
  <c r="H77" i="2"/>
  <c r="F77" i="2"/>
  <c r="G77" i="2"/>
  <c r="C84" i="2"/>
  <c r="D84" i="2"/>
  <c r="E84" i="2"/>
  <c r="F86" i="2"/>
  <c r="H86" i="2"/>
  <c r="G86" i="2"/>
</calcChain>
</file>

<file path=xl/sharedStrings.xml><?xml version="1.0" encoding="utf-8"?>
<sst xmlns="http://schemas.openxmlformats.org/spreadsheetml/2006/main" count="549" uniqueCount="297">
  <si>
    <t>The Safety Dance</t>
  </si>
  <si>
    <t>Never Gonna Give You Up</t>
  </si>
  <si>
    <t>Footloose</t>
  </si>
  <si>
    <t>Come On Eileen</t>
  </si>
  <si>
    <t>Jessie's Girl</t>
  </si>
  <si>
    <t>Sweet Child O' Mine</t>
  </si>
  <si>
    <t>Walk This Way</t>
  </si>
  <si>
    <t>Welcome To The Jungle</t>
  </si>
  <si>
    <t>Your Song</t>
  </si>
  <si>
    <t>You Shook Me All Night Long</t>
  </si>
  <si>
    <t>Africa</t>
  </si>
  <si>
    <t>Played?</t>
  </si>
  <si>
    <t>Inputs</t>
  </si>
  <si>
    <t>Values</t>
  </si>
  <si>
    <t>Num_Players</t>
  </si>
  <si>
    <t>Num_Rounds</t>
  </si>
  <si>
    <t>Cards_Per_Round</t>
  </si>
  <si>
    <t>Players</t>
  </si>
  <si>
    <t>Hungry Like the Wolf</t>
  </si>
  <si>
    <t>Eye of the Tiger</t>
  </si>
  <si>
    <t>Karma Chameleon</t>
  </si>
  <si>
    <t>When Doves Cry</t>
  </si>
  <si>
    <t>Come As You Are</t>
  </si>
  <si>
    <t>My Friends Over You</t>
  </si>
  <si>
    <t>You_Songs</t>
  </si>
  <si>
    <t>Under Pressure</t>
  </si>
  <si>
    <t>You Make My Dreams</t>
  </si>
  <si>
    <t>All For You</t>
  </si>
  <si>
    <t>Any Way You Want It</t>
  </si>
  <si>
    <t>Are You Gonna Be My Girl</t>
  </si>
  <si>
    <t>Because Of You</t>
  </si>
  <si>
    <t>Best Of You</t>
  </si>
  <si>
    <t>Burnin' For You</t>
  </si>
  <si>
    <t>Can't You See</t>
  </si>
  <si>
    <t>Can You Feel the Love Tonight</t>
  </si>
  <si>
    <t>Could You Be Loved</t>
  </si>
  <si>
    <t>Crazy On You</t>
  </si>
  <si>
    <t>Cuz I Love You</t>
  </si>
  <si>
    <t>Don't You (Forget About Me)</t>
  </si>
  <si>
    <t>Do You Remember</t>
  </si>
  <si>
    <t>Every Breath You Take</t>
  </si>
  <si>
    <t>Fall For You</t>
  </si>
  <si>
    <t>Fix You</t>
  </si>
  <si>
    <t>Girls Like You</t>
  </si>
  <si>
    <t>Gives You Hell</t>
  </si>
  <si>
    <t>Glad You Came</t>
  </si>
  <si>
    <t>Go Your Own Way</t>
  </si>
  <si>
    <t>Haven't Met You Yet</t>
  </si>
  <si>
    <t>Have You Ever Seen The Rain</t>
  </si>
  <si>
    <t>Hey You</t>
  </si>
  <si>
    <t>How You Remind Me</t>
  </si>
  <si>
    <t>If I Can't Have You</t>
  </si>
  <si>
    <t>If It Means A Lot To You</t>
  </si>
  <si>
    <t>I Hate Everything About You</t>
  </si>
  <si>
    <t>I Miss You</t>
  </si>
  <si>
    <t>I'm Yours</t>
  </si>
  <si>
    <t>Into You</t>
  </si>
  <si>
    <t>I Want You to Want Me</t>
  </si>
  <si>
    <t>I Will Follow You Into The Dark</t>
  </si>
  <si>
    <t>The Jetset Life Is Gonna Kill You</t>
  </si>
  <si>
    <t>Just The Way You Are</t>
  </si>
  <si>
    <t>Love The Way You Lie</t>
  </si>
  <si>
    <t>Rock You Like A Hurricane</t>
  </si>
  <si>
    <t>See You Again</t>
  </si>
  <si>
    <t>Shape Of You</t>
  </si>
  <si>
    <t>Someone Like You</t>
  </si>
  <si>
    <t>Stuck In The Middle With You</t>
  </si>
  <si>
    <t>Sunshine Of Your Love</t>
  </si>
  <si>
    <t>That's What You Get</t>
  </si>
  <si>
    <t>Whatever You Like</t>
  </si>
  <si>
    <t>What I Like About You</t>
  </si>
  <si>
    <t>What Makes You Beautiful</t>
  </si>
  <si>
    <t>When You Were Young</t>
  </si>
  <si>
    <t>Where You Will Go</t>
  </si>
  <si>
    <t>Who Do You Love</t>
  </si>
  <si>
    <t>Without You</t>
  </si>
  <si>
    <t>You And Me</t>
  </si>
  <si>
    <t>You Belong With Me</t>
  </si>
  <si>
    <t>You Can't Always Get What You Want</t>
  </si>
  <si>
    <t>You Can't Hurry Love</t>
  </si>
  <si>
    <t>You Don't Know How It Feels</t>
  </si>
  <si>
    <t>You Found Me</t>
  </si>
  <si>
    <t>You Give Love A Bad Name</t>
  </si>
  <si>
    <t>You Make Me Feel So Young</t>
  </si>
  <si>
    <t>Your Body Is A Wonderland</t>
  </si>
  <si>
    <t>You Really Got Me</t>
  </si>
  <si>
    <t>You're Beautiful</t>
  </si>
  <si>
    <t>You're Gonna Go Far, Kid</t>
  </si>
  <si>
    <t>You're My Best Friend</t>
  </si>
  <si>
    <t>You're Still The One</t>
  </si>
  <si>
    <t>Your Love</t>
  </si>
  <si>
    <t>Your Love Is My Drug</t>
  </si>
  <si>
    <t>You've Got a Friend</t>
  </si>
  <si>
    <t>You've Got a Friend In Me</t>
  </si>
  <si>
    <t>The_80s</t>
  </si>
  <si>
    <t>9 to 5</t>
  </si>
  <si>
    <t>All Night Long</t>
  </si>
  <si>
    <t>Another One Bites The Dust</t>
  </si>
  <si>
    <t>Back In Black</t>
  </si>
  <si>
    <t>Beat It</t>
  </si>
  <si>
    <t>Bust A Move</t>
  </si>
  <si>
    <t>Celebration</t>
  </si>
  <si>
    <t>Conga</t>
  </si>
  <si>
    <t>Dancing In the Dark</t>
  </si>
  <si>
    <t>Dancing with Myself</t>
  </si>
  <si>
    <t>Don't Stop Believin'</t>
  </si>
  <si>
    <t>Don't Worry Be Happy</t>
  </si>
  <si>
    <t>Down Under</t>
  </si>
  <si>
    <t>Everybody Wants To Rule The World</t>
  </si>
  <si>
    <t>Every Little Thing She Does Is Magic</t>
  </si>
  <si>
    <t>Funky Town</t>
  </si>
  <si>
    <t>Girls Just Want to Have Fun</t>
  </si>
  <si>
    <t>Here I Go Again</t>
  </si>
  <si>
    <t>Hit Me With Your Best Shot</t>
  </si>
  <si>
    <t>I Love Rock 'N Rool</t>
  </si>
  <si>
    <t>(I've Had) The Time Of My Life</t>
  </si>
  <si>
    <t>I Wanna Dance with Somebody (Who Loves Me)</t>
  </si>
  <si>
    <t>Jack and Diane</t>
  </si>
  <si>
    <t>Jump</t>
  </si>
  <si>
    <t>Just Like Heaven</t>
  </si>
  <si>
    <t>Kokomo</t>
  </si>
  <si>
    <t>Like a Prayer</t>
  </si>
  <si>
    <t>Like a Virgin</t>
  </si>
  <si>
    <t>Livin' On A Prayer</t>
  </si>
  <si>
    <t>Love Is A Battlefield</t>
  </si>
  <si>
    <t>Love Shack</t>
  </si>
  <si>
    <t>Mony Mony</t>
  </si>
  <si>
    <t>Need You Tonight</t>
  </si>
  <si>
    <t>Physical</t>
  </si>
  <si>
    <t>Pour Some Sugar On Me</t>
  </si>
  <si>
    <t>Purple Rain</t>
  </si>
  <si>
    <t>Push It</t>
  </si>
  <si>
    <t>Red Red Wine</t>
  </si>
  <si>
    <t>She's Got a Way</t>
  </si>
  <si>
    <t>Summer of '69</t>
  </si>
  <si>
    <t>Super Freak</t>
  </si>
  <si>
    <t>Sweet Dreams (Are Made of This)</t>
  </si>
  <si>
    <t>Tainted Love</t>
  </si>
  <si>
    <t>Take On Me</t>
  </si>
  <si>
    <t>Time After Time</t>
  </si>
  <si>
    <t>Total Eclipse of the Heart</t>
  </si>
  <si>
    <t>Wake Me up Before You Go-Go</t>
  </si>
  <si>
    <t>Walking On Sunshine</t>
  </si>
  <si>
    <t>Walk Like an Egyptian</t>
  </si>
  <si>
    <t>What's Love Got to Do with It</t>
  </si>
  <si>
    <t>You Got It</t>
  </si>
  <si>
    <t>Man in the Mirror</t>
  </si>
  <si>
    <t>Bingo1</t>
  </si>
  <si>
    <t>Bingo2</t>
  </si>
  <si>
    <t>Bingo3</t>
  </si>
  <si>
    <t>Bingo4</t>
  </si>
  <si>
    <t>Bingo5</t>
  </si>
  <si>
    <t>Bingo6</t>
  </si>
  <si>
    <t>Bingo7</t>
  </si>
  <si>
    <t>Bingo8</t>
  </si>
  <si>
    <t>Bingo9</t>
  </si>
  <si>
    <t>Bingo10</t>
  </si>
  <si>
    <t>Bingo11</t>
  </si>
  <si>
    <t>Bingo12</t>
  </si>
  <si>
    <t>Person1</t>
  </si>
  <si>
    <t>Person2</t>
  </si>
  <si>
    <t>Person3</t>
  </si>
  <si>
    <t>Person4</t>
  </si>
  <si>
    <t>Person5</t>
  </si>
  <si>
    <t>Person6</t>
  </si>
  <si>
    <t>Person7</t>
  </si>
  <si>
    <t>Person8</t>
  </si>
  <si>
    <t>Person9</t>
  </si>
  <si>
    <t>Person10</t>
  </si>
  <si>
    <t>Person11</t>
  </si>
  <si>
    <t>Person12</t>
  </si>
  <si>
    <t>Person13</t>
  </si>
  <si>
    <t>Person14</t>
  </si>
  <si>
    <t>Person15</t>
  </si>
  <si>
    <t>Legend:</t>
  </si>
  <si>
    <t>Name the adjacent section "{PlaylistName}_Played". Only necessary if the host will be crossing off song titles to verify card winners.</t>
  </si>
  <si>
    <t>Board 1</t>
  </si>
  <si>
    <t>Board 2</t>
  </si>
  <si>
    <t>Playlist</t>
  </si>
  <si>
    <t>Board #</t>
  </si>
  <si>
    <t>Index</t>
  </si>
  <si>
    <t>Player</t>
  </si>
  <si>
    <t>-This may take several tries to work. Don't give up!</t>
  </si>
  <si>
    <r>
      <t>Generate a matrix of random numbers which will populate the boards based on the song index in the named range. Copy this matrix to the yellow section on the [</t>
    </r>
    <r>
      <rPr>
        <i/>
        <sz val="11"/>
        <color theme="1"/>
        <rFont val="Calibri"/>
        <family val="2"/>
        <scheme val="minor"/>
      </rPr>
      <t>Control</t>
    </r>
    <r>
      <rPr>
        <sz val="11"/>
        <color theme="1"/>
        <rFont val="Calibri"/>
        <family val="2"/>
        <scheme val="minor"/>
      </rPr>
      <t>] tab.</t>
    </r>
  </si>
  <si>
    <t>^These inputs are currently not very flexible, but updates could be made to this template to allow for different values.</t>
  </si>
  <si>
    <r>
      <t>Fill in the player names here on the [</t>
    </r>
    <r>
      <rPr>
        <i/>
        <sz val="11"/>
        <rFont val="Calibri"/>
        <family val="2"/>
        <scheme val="minor"/>
      </rPr>
      <t>Control</t>
    </r>
    <r>
      <rPr>
        <sz val="11"/>
        <rFont val="Calibri"/>
        <family val="2"/>
        <scheme val="minor"/>
      </rPr>
      <t xml:space="preserve">] tab. </t>
    </r>
  </si>
  <si>
    <r>
      <t>Selected playlists should be here on the [</t>
    </r>
    <r>
      <rPr>
        <i/>
        <sz val="11"/>
        <color theme="1"/>
        <rFont val="Calibri"/>
        <family val="2"/>
        <scheme val="minor"/>
      </rPr>
      <t>Control</t>
    </r>
    <r>
      <rPr>
        <sz val="11"/>
        <color theme="1"/>
        <rFont val="Calibri"/>
        <family val="2"/>
        <scheme val="minor"/>
      </rPr>
      <t>] tab.</t>
    </r>
  </si>
  <si>
    <t>num_boards_per_round &lt;- 2</t>
  </si>
  <si>
    <t>board_size &lt;- 25</t>
  </si>
  <si>
    <t>set.seed(8675309, sample.kind = "Rounding")</t>
  </si>
  <si>
    <t>all_boards &lt;- matrix(, nrow = board_size, ncol = num_boards_per_round * num_rounds * num_players)</t>
  </si>
  <si>
    <t>for (i in 1:num_players){</t>
  </si>
  <si>
    <t xml:space="preserve">    for(j in 1: num_rounds){</t>
  </si>
  <si>
    <t xml:space="preserve">        for(k in 1:num_boards_per_round){</t>
  </si>
  <si>
    <t xml:space="preserve">            card_num = i * num_rounds * num_boards_per_round-num_rounds * num_boards_per_round + j * num_boards_per_round-num_boards_per_round + k</t>
  </si>
  <si>
    <t xml:space="preserve">            all_boards[,card_num] = sample(x = 1:num_songs[j], size = board_size, replace = F)</t>
  </si>
  <si>
    <t xml:space="preserve">        }</t>
  </si>
  <si>
    <t xml:space="preserve">    }</t>
  </si>
  <si>
    <t>}</t>
  </si>
  <si>
    <t>#R Code to generate the Random Number Matrix:</t>
  </si>
  <si>
    <t>#Alternative way to get list of songs from a folder instead of Spotify</t>
  </si>
  <si>
    <t>write.csv(list.files(path = "C:\\Users\\brian\\Music\\iTunes\\iTunes Media\\Automatically Add to iTunes"), file = "song_names.csv", row.names = F)</t>
  </si>
  <si>
    <t xml:space="preserve">Use this to get song names from your Spotify account: </t>
  </si>
  <si>
    <t>http://joellehman.com/playlist/index.html</t>
  </si>
  <si>
    <r>
      <t>Once all inputs are configured and all the old player boards are deleted out, hit the "Make MINGO!" button on the [</t>
    </r>
    <r>
      <rPr>
        <i/>
        <sz val="11"/>
        <color theme="1"/>
        <rFont val="Calibri"/>
        <family val="2"/>
        <scheme val="minor"/>
      </rPr>
      <t>Control</t>
    </r>
    <r>
      <rPr>
        <sz val="11"/>
        <color theme="1"/>
        <rFont val="Calibri"/>
        <family val="2"/>
        <scheme val="minor"/>
      </rPr>
      <t>] tab.</t>
    </r>
  </si>
  <si>
    <t>Person16</t>
  </si>
  <si>
    <t>Person17</t>
  </si>
  <si>
    <t>Person18</t>
  </si>
  <si>
    <t>Person19</t>
  </si>
  <si>
    <t>Person20</t>
  </si>
  <si>
    <t>Person21</t>
  </si>
  <si>
    <t>Person22</t>
  </si>
  <si>
    <t>Person23</t>
  </si>
  <si>
    <t>Person24</t>
  </si>
  <si>
    <t>Person25</t>
  </si>
  <si>
    <t>Insert new columns to the right for additional playlists so that playlist names don't overlap. Otherwise, delete old names and rename with the new names.</t>
  </si>
  <si>
    <t>As songs are played, mark an 'x' in the green column next to the song that has been played.</t>
  </si>
  <si>
    <r>
      <t>All song names go here. Duplicates are strongly discouraged, and will interfere with formulas on the [</t>
    </r>
    <r>
      <rPr>
        <i/>
        <sz val="11"/>
        <color theme="1"/>
        <rFont val="Calibri"/>
        <family val="2"/>
        <scheme val="minor"/>
      </rPr>
      <t>Board_Template</t>
    </r>
    <r>
      <rPr>
        <sz val="11"/>
        <color theme="1"/>
        <rFont val="Calibri"/>
        <family val="2"/>
        <scheme val="minor"/>
      </rPr>
      <t xml:space="preserve">] tab. </t>
    </r>
    <r>
      <rPr>
        <b/>
        <sz val="11"/>
        <color theme="1"/>
        <rFont val="Calibri"/>
        <family val="2"/>
        <scheme val="minor"/>
      </rPr>
      <t>Name this region with the name of the playlist.</t>
    </r>
    <r>
      <rPr>
        <sz val="11"/>
        <color theme="1"/>
        <rFont val="Calibri"/>
        <family val="2"/>
        <scheme val="minor"/>
      </rPr>
      <t xml:space="preserve"> Recommended playlist length is 40-65 songs.</t>
    </r>
  </si>
  <si>
    <t>Card1 1Bingo</t>
  </si>
  <si>
    <t>Card1 2Bingos</t>
  </si>
  <si>
    <t>Card1 Blackout</t>
  </si>
  <si>
    <t>Card2 1Bingo</t>
  </si>
  <si>
    <t>Card2 2Bingos</t>
  </si>
  <si>
    <t>Card2 Blackout</t>
  </si>
  <si>
    <t>Selected Playlist</t>
  </si>
  <si>
    <t>num_songs &lt;- c(73) #This should be the number of songs in each playlist</t>
  </si>
  <si>
    <t>num_rounds &lt;- 1</t>
  </si>
  <si>
    <t>num_players &lt;- 25</t>
  </si>
  <si>
    <t>write.csv(all_boards, file = "C:\\Users\\brian\\Desktop\\All\\Projects\\MINGO\\MINGO_Random_Order.csv", row.names = F)</t>
  </si>
  <si>
    <t>-The macro can be resource intensive. Closing other applications will help speed up runtime.</t>
  </si>
  <si>
    <t>Disney</t>
  </si>
  <si>
    <t>A Guy Like You</t>
  </si>
  <si>
    <t>A Pirate's Life</t>
  </si>
  <si>
    <t>A Whole New World</t>
  </si>
  <si>
    <t>After Today</t>
  </si>
  <si>
    <t>All Aboard</t>
  </si>
  <si>
    <t>Baby Mine</t>
  </si>
  <si>
    <t>Back In the Saddle</t>
  </si>
  <si>
    <t>Be Our Guest</t>
  </si>
  <si>
    <t>Bibbidi-Bobbidi-Boo</t>
  </si>
  <si>
    <t>Cantina Band</t>
  </si>
  <si>
    <t>Dig a Little Deeper</t>
  </si>
  <si>
    <t>DuckTales</t>
  </si>
  <si>
    <t>Fantasmic!</t>
  </si>
  <si>
    <t>Flitterin'</t>
  </si>
  <si>
    <t>Friend Like Me</t>
  </si>
  <si>
    <t>Hakuna Matata</t>
  </si>
  <si>
    <t>He Mele No Lilo</t>
  </si>
  <si>
    <t>Heigh-Ho</t>
  </si>
  <si>
    <t>How Far I'll Go</t>
  </si>
  <si>
    <t>I See the Light</t>
  </si>
  <si>
    <t>I See You</t>
  </si>
  <si>
    <t>If I Didn't Have You</t>
  </si>
  <si>
    <t>Iron Man</t>
  </si>
  <si>
    <t>It's a Small World</t>
  </si>
  <si>
    <t>It's All Right</t>
  </si>
  <si>
    <t>Just Around the Riverbend</t>
  </si>
  <si>
    <t>Just Keep Swimming</t>
  </si>
  <si>
    <t>Just Like Fire</t>
  </si>
  <si>
    <t>Let It Go</t>
  </si>
  <si>
    <t>Life Is a Highway</t>
  </si>
  <si>
    <t>Love</t>
  </si>
  <si>
    <t>Mickey Mouse Club March</t>
  </si>
  <si>
    <t>Oggie Boogie's Song</t>
  </si>
  <si>
    <t>Once Upon a Dream</t>
  </si>
  <si>
    <t>One Little Spark</t>
  </si>
  <si>
    <t>Remember Me</t>
  </si>
  <si>
    <t>Soarin'</t>
  </si>
  <si>
    <t>Steamboat Willie</t>
  </si>
  <si>
    <t>Step In Time</t>
  </si>
  <si>
    <t>Summer Belongs to You</t>
  </si>
  <si>
    <t>Swissapolka</t>
  </si>
  <si>
    <t>That's How You Know</t>
  </si>
  <si>
    <t>That's the Life</t>
  </si>
  <si>
    <t>The Bare Necessities</t>
  </si>
  <si>
    <t>The Imperial March</t>
  </si>
  <si>
    <t>The Incredits</t>
  </si>
  <si>
    <t>The Tiki, Tiki, Tiki Room</t>
  </si>
  <si>
    <t>The Twilight Zone Tower of Terror</t>
  </si>
  <si>
    <t>Thomas O'Malley Cat</t>
  </si>
  <si>
    <t>Touch the Sky</t>
  </si>
  <si>
    <t>Try Everything</t>
  </si>
  <si>
    <t>Under the Sea</t>
  </si>
  <si>
    <t>Wall-E</t>
  </si>
  <si>
    <t>We're All In This Together</t>
  </si>
  <si>
    <t>What's My Name</t>
  </si>
  <si>
    <t>When You Wish Upon a Star</t>
  </si>
  <si>
    <t>Why Should I Worry</t>
  </si>
  <si>
    <t>Winnie the Pooh</t>
  </si>
  <si>
    <t>You'll Be Back</t>
  </si>
  <si>
    <t>You'll Be In My Heart</t>
  </si>
  <si>
    <t>You've Got a Friend in Me</t>
  </si>
  <si>
    <t>Zero</t>
  </si>
  <si>
    <t>Zero To Hero</t>
  </si>
  <si>
    <t>Card 1 of 2</t>
  </si>
  <si>
    <t>MINGO_2/2/2021</t>
  </si>
  <si>
    <t>Card 2 of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</si>
</sst>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0000"/>
      <name val="Times New Roman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4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A76FE"/>
        <bgColor indexed="64"/>
      </patternFill>
    </fill>
    <fill>
      <patternFill patternType="solid">
        <fgColor indexed="49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rgb="FFDDDDDD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applyFill="1"/>
    <xf numFmtId="0" fontId="0" fillId="2" borderId="0" xfId="0" applyFill="1"/>
    <xf numFmtId="0" fontId="0" fillId="0" borderId="1" xfId="0" applyBorder="1" applyAlignment="1">
      <alignment horizontal="center" vertical="center" wrapText="1"/>
    </xf>
    <xf numFmtId="0" fontId="1" fillId="0" borderId="2" xfId="0" applyFont="1" applyBorder="1"/>
    <xf numFmtId="0" fontId="0" fillId="0" borderId="2" xfId="0" applyFill="1" applyBorder="1" applyAlignment="1">
      <alignment horizontal="center" vertical="center" wrapText="1"/>
    </xf>
    <xf numFmtId="0" fontId="0" fillId="0" borderId="2" xfId="0" applyBorder="1"/>
    <xf numFmtId="0" fontId="0" fillId="0" borderId="0" xfId="0" applyAlignment="1">
      <alignment wrapText="1"/>
    </xf>
    <xf numFmtId="0" fontId="0" fillId="4" borderId="0" xfId="0" applyFill="1"/>
    <xf numFmtId="0" fontId="1" fillId="0" borderId="0" xfId="0" applyFont="1"/>
    <xf numFmtId="0" fontId="0" fillId="3" borderId="0" xfId="0" applyFill="1"/>
    <xf numFmtId="0" fontId="0" fillId="0" borderId="0" xfId="0" quotePrefix="1"/>
    <xf numFmtId="0" fontId="2" fillId="0" borderId="3" xfId="0" applyFont="1" applyBorder="1" applyAlignment="1">
      <alignment horizontal="left" vertical="center" wrapText="1" indent="1"/>
    </xf>
    <xf numFmtId="0" fontId="0" fillId="2" borderId="0" xfId="0" applyFill="1" applyAlignment="1">
      <alignment vertical="center"/>
    </xf>
    <xf numFmtId="0" fontId="0" fillId="0" borderId="4" xfId="0" applyBorder="1"/>
    <xf numFmtId="0" fontId="0" fillId="2" borderId="4" xfId="0" applyFill="1" applyBorder="1" applyAlignment="1">
      <alignment vertical="center"/>
    </xf>
    <xf numFmtId="0" fontId="0" fillId="5" borderId="0" xfId="0" applyFill="1"/>
    <xf numFmtId="0" fontId="6" fillId="0" borderId="0" xfId="0" applyFont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6" borderId="0" xfId="0" applyFill="1"/>
    <xf numFmtId="0" fontId="0" fillId="6" borderId="4" xfId="0" applyFill="1" applyBorder="1"/>
    <xf numFmtId="0" fontId="1" fillId="0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0" xfId="0" applyAlignment="1">
      <alignment vertical="top" wrapText="1"/>
    </xf>
    <xf numFmtId="0" fontId="7" fillId="7" borderId="0" xfId="0" applyFont="1" applyFill="1"/>
    <xf numFmtId="0" fontId="0" fillId="7" borderId="0" xfId="0" applyFill="1"/>
    <xf numFmtId="0" fontId="0" fillId="8" borderId="0" xfId="0" applyFill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9" fillId="0" borderId="0" xfId="1"/>
    <xf numFmtId="0" fontId="0" fillId="0" borderId="0" xfId="0" applyFont="1"/>
    <xf numFmtId="0" fontId="1" fillId="0" borderId="0" xfId="0" applyFont="1" applyFill="1" applyAlignment="1">
      <alignment vertical="center"/>
    </xf>
    <xf numFmtId="0" fontId="0" fillId="2" borderId="0" xfId="0" applyFill="1" applyBorder="1"/>
    <xf numFmtId="0" fontId="1" fillId="0" borderId="0" xfId="0" applyFont="1" applyFill="1"/>
    <xf numFmtId="0" fontId="11" fillId="0" borderId="0" xfId="0" applyFont="1" applyAlignment="1">
      <alignment horizontal="left" vertical="top"/>
    </xf>
    <xf numFmtId="0" fontId="1" fillId="0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 vertical="top" wrapText="1"/>
    </xf>
    <xf numFmtId="0" fontId="10" fillId="9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51"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</dxfs>
  <tableStyles count="0" defaultTableStyle="TableStyleMedium2" defaultPivotStyle="PivotStyleLight16"/>
  <colors>
    <mruColors>
      <color rgb="FFCA76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361950</xdr:colOff>
          <xdr:row>70</xdr:row>
          <xdr:rowOff>0</xdr:rowOff>
        </xdr:from>
        <xdr:to>
          <xdr:col>21</xdr:col>
          <xdr:colOff>0</xdr:colOff>
          <xdr:row>75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MINGO!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joellehman.com/playlist/index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530D1-715F-4D37-A130-35447BEAD1FD}">
  <sheetPr codeName="Sheet1">
    <tabColor rgb="FF92D050"/>
    <pageSetUpPr fitToPage="1"/>
  </sheetPr>
  <dimension ref="A1:AF74"/>
  <sheetViews>
    <sheetView tabSelected="1" zoomScale="70" zoomScaleNormal="70" workbookViewId="0"/>
  </sheetViews>
  <sheetFormatPr defaultRowHeight="15" x14ac:dyDescent="0.25"/>
  <cols>
    <col min="1" max="1" width="35.7109375" bestFit="1" customWidth="1"/>
    <col min="3" max="3" width="9.140625" style="1"/>
    <col min="4" max="4" width="44.85546875" customWidth="1"/>
    <col min="6" max="6" width="9.140625" style="1"/>
    <col min="7" max="7" width="16" style="1" bestFit="1" customWidth="1"/>
    <col min="8" max="8" width="11" style="1" bestFit="1" customWidth="1"/>
    <col min="9" max="9" width="9.140625" style="1"/>
  </cols>
  <sheetData>
    <row r="1" spans="1:32" x14ac:dyDescent="0.25">
      <c r="A1" s="9" t="s">
        <v>24</v>
      </c>
      <c r="B1" s="9" t="s">
        <v>11</v>
      </c>
      <c r="D1" s="9" t="s">
        <v>94</v>
      </c>
      <c r="E1" s="9" t="s">
        <v>11</v>
      </c>
      <c r="G1" s="38" t="s">
        <v>230</v>
      </c>
      <c r="H1" s="38" t="s">
        <v>11</v>
      </c>
      <c r="J1" s="17" t="s">
        <v>174</v>
      </c>
    </row>
    <row r="2" spans="1:32" x14ac:dyDescent="0.25">
      <c r="A2" s="16" t="s">
        <v>27</v>
      </c>
      <c r="B2" s="10"/>
      <c r="D2" s="16" t="s">
        <v>95</v>
      </c>
      <c r="E2" s="10"/>
      <c r="G2" s="16" t="s">
        <v>231</v>
      </c>
      <c r="H2" s="10"/>
      <c r="J2" s="35" t="s">
        <v>215</v>
      </c>
    </row>
    <row r="3" spans="1:32" x14ac:dyDescent="0.25">
      <c r="A3" s="16" t="s">
        <v>28</v>
      </c>
      <c r="B3" s="10"/>
      <c r="D3" s="16" t="s">
        <v>10</v>
      </c>
      <c r="E3" s="10"/>
      <c r="G3" s="16" t="s">
        <v>232</v>
      </c>
      <c r="H3" s="10"/>
      <c r="J3" s="16" t="s">
        <v>217</v>
      </c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</row>
    <row r="4" spans="1:32" x14ac:dyDescent="0.25">
      <c r="A4" s="16" t="s">
        <v>29</v>
      </c>
      <c r="B4" s="10"/>
      <c r="D4" s="16" t="s">
        <v>96</v>
      </c>
      <c r="E4" s="10"/>
      <c r="G4" s="16" t="s">
        <v>233</v>
      </c>
      <c r="H4" s="10"/>
      <c r="J4" s="10" t="s">
        <v>175</v>
      </c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</row>
    <row r="5" spans="1:32" x14ac:dyDescent="0.25">
      <c r="A5" s="16" t="s">
        <v>30</v>
      </c>
      <c r="B5" s="10"/>
      <c r="D5" s="16" t="s">
        <v>97</v>
      </c>
      <c r="E5" s="10"/>
      <c r="G5" s="16" t="s">
        <v>234</v>
      </c>
      <c r="H5" s="10"/>
      <c r="J5" s="10" t="s">
        <v>216</v>
      </c>
      <c r="K5" s="10"/>
      <c r="L5" s="10"/>
      <c r="M5" s="10"/>
      <c r="N5" s="10"/>
      <c r="O5" s="10"/>
      <c r="P5" s="10"/>
      <c r="Q5" s="10"/>
      <c r="R5" s="10"/>
    </row>
    <row r="6" spans="1:32" x14ac:dyDescent="0.25">
      <c r="A6" s="16" t="s">
        <v>31</v>
      </c>
      <c r="B6" s="10"/>
      <c r="D6" s="16" t="s">
        <v>98</v>
      </c>
      <c r="E6" s="10"/>
      <c r="G6" s="16" t="s">
        <v>235</v>
      </c>
      <c r="H6" s="10"/>
      <c r="J6" s="21" t="s">
        <v>183</v>
      </c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</row>
    <row r="7" spans="1:32" x14ac:dyDescent="0.25">
      <c r="A7" s="16" t="s">
        <v>32</v>
      </c>
      <c r="B7" s="10"/>
      <c r="D7" s="16" t="s">
        <v>99</v>
      </c>
      <c r="E7" s="10"/>
      <c r="G7" s="16" t="s">
        <v>236</v>
      </c>
      <c r="H7" s="10"/>
      <c r="J7" s="26" t="s">
        <v>185</v>
      </c>
      <c r="K7" s="26"/>
      <c r="L7" s="26"/>
      <c r="M7" s="27"/>
      <c r="N7" s="27"/>
    </row>
    <row r="8" spans="1:32" x14ac:dyDescent="0.25">
      <c r="A8" s="16" t="s">
        <v>33</v>
      </c>
      <c r="B8" s="10"/>
      <c r="D8" s="16" t="s">
        <v>100</v>
      </c>
      <c r="E8" s="10"/>
      <c r="G8" s="16" t="s">
        <v>237</v>
      </c>
      <c r="H8" s="10"/>
      <c r="J8" s="28" t="s">
        <v>186</v>
      </c>
      <c r="K8" s="28"/>
      <c r="L8" s="28"/>
      <c r="M8" s="28"/>
      <c r="N8" s="28"/>
      <c r="O8" s="28"/>
    </row>
    <row r="9" spans="1:32" x14ac:dyDescent="0.25">
      <c r="A9" s="16" t="s">
        <v>34</v>
      </c>
      <c r="B9" s="10"/>
      <c r="D9" s="16" t="s">
        <v>101</v>
      </c>
      <c r="E9" s="10"/>
      <c r="G9" s="16" t="s">
        <v>238</v>
      </c>
      <c r="H9" s="10"/>
    </row>
    <row r="10" spans="1:32" x14ac:dyDescent="0.25">
      <c r="A10" s="16" t="s">
        <v>22</v>
      </c>
      <c r="B10" s="10"/>
      <c r="D10" s="16" t="s">
        <v>3</v>
      </c>
      <c r="E10" s="10"/>
      <c r="G10" s="16" t="s">
        <v>239</v>
      </c>
      <c r="H10" s="10"/>
      <c r="J10" t="s">
        <v>204</v>
      </c>
    </row>
    <row r="11" spans="1:32" x14ac:dyDescent="0.25">
      <c r="A11" s="16" t="s">
        <v>35</v>
      </c>
      <c r="B11" s="10"/>
      <c r="D11" s="16" t="s">
        <v>102</v>
      </c>
      <c r="E11" s="10"/>
      <c r="G11" s="16" t="s">
        <v>240</v>
      </c>
      <c r="H11" s="10"/>
      <c r="J11" s="11" t="s">
        <v>229</v>
      </c>
    </row>
    <row r="12" spans="1:32" x14ac:dyDescent="0.25">
      <c r="A12" s="16" t="s">
        <v>36</v>
      </c>
      <c r="B12" s="10"/>
      <c r="D12" s="16" t="s">
        <v>103</v>
      </c>
      <c r="E12" s="10"/>
      <c r="G12" s="16" t="s">
        <v>241</v>
      </c>
      <c r="H12" s="10"/>
      <c r="J12" s="11"/>
    </row>
    <row r="13" spans="1:32" x14ac:dyDescent="0.25">
      <c r="A13" s="16" t="s">
        <v>37</v>
      </c>
      <c r="B13" s="10"/>
      <c r="D13" s="16" t="s">
        <v>104</v>
      </c>
      <c r="E13" s="10"/>
      <c r="G13" s="16" t="s">
        <v>242</v>
      </c>
      <c r="H13" s="10"/>
    </row>
    <row r="14" spans="1:32" x14ac:dyDescent="0.25">
      <c r="A14" s="16" t="s">
        <v>38</v>
      </c>
      <c r="B14" s="10"/>
      <c r="D14" s="16" t="s">
        <v>105</v>
      </c>
      <c r="E14" s="10"/>
      <c r="G14" s="16" t="s">
        <v>243</v>
      </c>
      <c r="H14" s="10"/>
      <c r="J14" t="s">
        <v>202</v>
      </c>
      <c r="P14" s="34" t="s">
        <v>203</v>
      </c>
    </row>
    <row r="15" spans="1:32" x14ac:dyDescent="0.25">
      <c r="A15" s="16" t="s">
        <v>39</v>
      </c>
      <c r="B15" s="10"/>
      <c r="D15" s="16" t="s">
        <v>106</v>
      </c>
      <c r="E15" s="10"/>
      <c r="G15" s="16" t="s">
        <v>244</v>
      </c>
      <c r="H15" s="10"/>
      <c r="J15" s="11" t="s">
        <v>182</v>
      </c>
    </row>
    <row r="16" spans="1:32" x14ac:dyDescent="0.25">
      <c r="A16" s="16" t="s">
        <v>40</v>
      </c>
      <c r="B16" s="10"/>
      <c r="D16" s="16" t="s">
        <v>38</v>
      </c>
      <c r="E16" s="10"/>
      <c r="G16" s="16" t="s">
        <v>245</v>
      </c>
      <c r="H16" s="10"/>
    </row>
    <row r="17" spans="1:25" x14ac:dyDescent="0.25">
      <c r="A17" s="16" t="s">
        <v>41</v>
      </c>
      <c r="B17" s="10"/>
      <c r="D17" s="16" t="s">
        <v>107</v>
      </c>
      <c r="E17" s="10"/>
      <c r="G17" s="16" t="s">
        <v>246</v>
      </c>
      <c r="H17" s="10"/>
    </row>
    <row r="18" spans="1:25" x14ac:dyDescent="0.25">
      <c r="A18" s="16" t="s">
        <v>42</v>
      </c>
      <c r="B18" s="10"/>
      <c r="D18" s="16" t="s">
        <v>108</v>
      </c>
      <c r="E18" s="10"/>
      <c r="G18" s="16" t="s">
        <v>247</v>
      </c>
      <c r="H18" s="10"/>
      <c r="J18" s="29" t="s">
        <v>199</v>
      </c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30"/>
    </row>
    <row r="19" spans="1:25" x14ac:dyDescent="0.25">
      <c r="A19" s="16" t="s">
        <v>43</v>
      </c>
      <c r="B19" s="10"/>
      <c r="D19" s="16" t="s">
        <v>109</v>
      </c>
      <c r="E19" s="10"/>
      <c r="G19" s="16" t="s">
        <v>248</v>
      </c>
      <c r="H19" s="10"/>
      <c r="J19" s="20" t="s">
        <v>225</v>
      </c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9"/>
    </row>
    <row r="20" spans="1:25" x14ac:dyDescent="0.25">
      <c r="A20" s="16" t="s">
        <v>44</v>
      </c>
      <c r="B20" s="10"/>
      <c r="D20" s="16" t="s">
        <v>19</v>
      </c>
      <c r="E20" s="10"/>
      <c r="G20" s="16" t="s">
        <v>249</v>
      </c>
      <c r="H20" s="10"/>
      <c r="J20" s="20" t="s">
        <v>226</v>
      </c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9"/>
    </row>
    <row r="21" spans="1:25" x14ac:dyDescent="0.25">
      <c r="A21" s="16" t="s">
        <v>45</v>
      </c>
      <c r="B21" s="10"/>
      <c r="D21" s="16" t="s">
        <v>2</v>
      </c>
      <c r="E21" s="10"/>
      <c r="G21" s="16" t="s">
        <v>250</v>
      </c>
      <c r="H21" s="10"/>
      <c r="J21" s="20" t="s">
        <v>187</v>
      </c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9"/>
    </row>
    <row r="22" spans="1:25" x14ac:dyDescent="0.25">
      <c r="A22" s="16" t="s">
        <v>46</v>
      </c>
      <c r="B22" s="10"/>
      <c r="D22" s="16" t="s">
        <v>110</v>
      </c>
      <c r="E22" s="10"/>
      <c r="G22" s="16" t="s">
        <v>251</v>
      </c>
      <c r="H22" s="10"/>
      <c r="J22" s="20" t="s">
        <v>227</v>
      </c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9"/>
    </row>
    <row r="23" spans="1:25" x14ac:dyDescent="0.25">
      <c r="A23" s="16" t="s">
        <v>47</v>
      </c>
      <c r="B23" s="10"/>
      <c r="D23" s="16" t="s">
        <v>111</v>
      </c>
      <c r="E23" s="10"/>
      <c r="G23" s="16" t="s">
        <v>252</v>
      </c>
      <c r="H23" s="10"/>
      <c r="J23" s="20" t="s">
        <v>188</v>
      </c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9"/>
    </row>
    <row r="24" spans="1:25" x14ac:dyDescent="0.25">
      <c r="A24" s="16" t="s">
        <v>48</v>
      </c>
      <c r="B24" s="10"/>
      <c r="D24" s="16" t="s">
        <v>112</v>
      </c>
      <c r="E24" s="10"/>
      <c r="G24" s="16" t="s">
        <v>253</v>
      </c>
      <c r="H24" s="10"/>
      <c r="J24" s="20" t="s">
        <v>189</v>
      </c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9"/>
    </row>
    <row r="25" spans="1:25" x14ac:dyDescent="0.25">
      <c r="A25" s="16" t="s">
        <v>49</v>
      </c>
      <c r="B25" s="10"/>
      <c r="D25" s="16" t="s">
        <v>113</v>
      </c>
      <c r="E25" s="10"/>
      <c r="G25" s="16" t="s">
        <v>254</v>
      </c>
      <c r="H25" s="10"/>
      <c r="J25" s="20" t="s">
        <v>190</v>
      </c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9"/>
    </row>
    <row r="26" spans="1:25" x14ac:dyDescent="0.25">
      <c r="A26" s="16" t="s">
        <v>50</v>
      </c>
      <c r="B26" s="10"/>
      <c r="D26" s="16" t="s">
        <v>18</v>
      </c>
      <c r="E26" s="10"/>
      <c r="G26" s="16" t="s">
        <v>255</v>
      </c>
      <c r="H26" s="10"/>
      <c r="J26" s="20" t="s">
        <v>191</v>
      </c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9"/>
    </row>
    <row r="27" spans="1:25" x14ac:dyDescent="0.25">
      <c r="A27" s="16" t="s">
        <v>51</v>
      </c>
      <c r="B27" s="10"/>
      <c r="D27" s="16" t="s">
        <v>114</v>
      </c>
      <c r="E27" s="10"/>
      <c r="G27" s="16" t="s">
        <v>256</v>
      </c>
      <c r="H27" s="10"/>
      <c r="J27" s="20" t="s">
        <v>192</v>
      </c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9"/>
    </row>
    <row r="28" spans="1:25" x14ac:dyDescent="0.25">
      <c r="A28" s="16" t="s">
        <v>52</v>
      </c>
      <c r="B28" s="10"/>
      <c r="D28" s="16" t="s">
        <v>115</v>
      </c>
      <c r="E28" s="10"/>
      <c r="G28" s="16" t="s">
        <v>257</v>
      </c>
      <c r="H28" s="10"/>
      <c r="J28" s="20" t="s">
        <v>193</v>
      </c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9"/>
    </row>
    <row r="29" spans="1:25" x14ac:dyDescent="0.25">
      <c r="A29" s="16" t="s">
        <v>53</v>
      </c>
      <c r="B29" s="10"/>
      <c r="D29" s="16" t="s">
        <v>116</v>
      </c>
      <c r="E29" s="10"/>
      <c r="G29" s="16" t="s">
        <v>258</v>
      </c>
      <c r="H29" s="10"/>
      <c r="J29" s="20" t="s">
        <v>194</v>
      </c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9"/>
    </row>
    <row r="30" spans="1:25" x14ac:dyDescent="0.25">
      <c r="A30" s="16" t="s">
        <v>54</v>
      </c>
      <c r="B30" s="10"/>
      <c r="D30" s="16" t="s">
        <v>117</v>
      </c>
      <c r="E30" s="10"/>
      <c r="G30" s="16" t="s">
        <v>259</v>
      </c>
      <c r="H30" s="10"/>
      <c r="J30" s="20" t="s">
        <v>195</v>
      </c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9"/>
    </row>
    <row r="31" spans="1:25" x14ac:dyDescent="0.25">
      <c r="A31" s="16" t="s">
        <v>55</v>
      </c>
      <c r="B31" s="10"/>
      <c r="D31" s="16" t="s">
        <v>4</v>
      </c>
      <c r="E31" s="10"/>
      <c r="G31" s="16" t="s">
        <v>260</v>
      </c>
      <c r="H31" s="10"/>
      <c r="J31" s="20" t="s">
        <v>196</v>
      </c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9"/>
    </row>
    <row r="32" spans="1:25" ht="20.25" customHeight="1" x14ac:dyDescent="0.25">
      <c r="A32" s="16" t="s">
        <v>56</v>
      </c>
      <c r="B32" s="10"/>
      <c r="D32" s="16" t="s">
        <v>118</v>
      </c>
      <c r="E32" s="10"/>
      <c r="G32" s="16" t="s">
        <v>261</v>
      </c>
      <c r="H32" s="10"/>
      <c r="J32" s="20" t="s">
        <v>197</v>
      </c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9"/>
    </row>
    <row r="33" spans="1:25" x14ac:dyDescent="0.25">
      <c r="A33" s="16" t="s">
        <v>57</v>
      </c>
      <c r="B33" s="10"/>
      <c r="D33" s="16" t="s">
        <v>119</v>
      </c>
      <c r="E33" s="10"/>
      <c r="G33" s="16" t="s">
        <v>262</v>
      </c>
      <c r="H33" s="10"/>
      <c r="J33" s="20" t="s">
        <v>198</v>
      </c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9"/>
    </row>
    <row r="34" spans="1:25" x14ac:dyDescent="0.25">
      <c r="A34" s="16" t="s">
        <v>58</v>
      </c>
      <c r="B34" s="10"/>
      <c r="D34" s="16" t="s">
        <v>20</v>
      </c>
      <c r="E34" s="10"/>
      <c r="G34" s="16" t="s">
        <v>263</v>
      </c>
      <c r="H34" s="10"/>
      <c r="J34" s="20" t="s">
        <v>228</v>
      </c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9"/>
    </row>
    <row r="35" spans="1:25" x14ac:dyDescent="0.25">
      <c r="A35" s="16" t="s">
        <v>59</v>
      </c>
      <c r="B35" s="10"/>
      <c r="D35" s="16" t="s">
        <v>120</v>
      </c>
      <c r="E35" s="10"/>
      <c r="G35" s="16" t="s">
        <v>264</v>
      </c>
      <c r="H35" s="10"/>
      <c r="J35" s="20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9"/>
    </row>
    <row r="36" spans="1:25" x14ac:dyDescent="0.25">
      <c r="A36" s="16" t="s">
        <v>60</v>
      </c>
      <c r="B36" s="10"/>
      <c r="D36" s="16" t="s">
        <v>121</v>
      </c>
      <c r="E36" s="10"/>
      <c r="G36" s="16" t="s">
        <v>265</v>
      </c>
      <c r="H36" s="10"/>
      <c r="J36" s="20" t="s">
        <v>200</v>
      </c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9"/>
    </row>
    <row r="37" spans="1:25" x14ac:dyDescent="0.25">
      <c r="A37" s="16" t="s">
        <v>61</v>
      </c>
      <c r="B37" s="10"/>
      <c r="D37" s="16" t="s">
        <v>122</v>
      </c>
      <c r="E37" s="10"/>
      <c r="G37" s="16" t="s">
        <v>266</v>
      </c>
      <c r="H37" s="10"/>
      <c r="J37" s="31" t="s">
        <v>201</v>
      </c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3"/>
    </row>
    <row r="38" spans="1:25" x14ac:dyDescent="0.25">
      <c r="A38" s="16" t="s">
        <v>23</v>
      </c>
      <c r="B38" s="10"/>
      <c r="D38" s="16" t="s">
        <v>123</v>
      </c>
      <c r="E38" s="10"/>
      <c r="G38" s="16" t="s">
        <v>267</v>
      </c>
      <c r="H38" s="10"/>
    </row>
    <row r="39" spans="1:25" x14ac:dyDescent="0.25">
      <c r="A39" s="16" t="s">
        <v>1</v>
      </c>
      <c r="B39" s="10"/>
      <c r="D39" s="16" t="s">
        <v>124</v>
      </c>
      <c r="E39" s="10"/>
      <c r="G39" s="16" t="s">
        <v>268</v>
      </c>
      <c r="H39" s="10"/>
    </row>
    <row r="40" spans="1:25" x14ac:dyDescent="0.25">
      <c r="A40" s="16" t="s">
        <v>62</v>
      </c>
      <c r="B40" s="10"/>
      <c r="D40" s="16" t="s">
        <v>125</v>
      </c>
      <c r="E40" s="10"/>
      <c r="G40" s="16" t="s">
        <v>269</v>
      </c>
      <c r="H40" s="10"/>
    </row>
    <row r="41" spans="1:25" x14ac:dyDescent="0.25">
      <c r="A41" s="16" t="s">
        <v>63</v>
      </c>
      <c r="B41" s="10"/>
      <c r="D41" s="16" t="s">
        <v>146</v>
      </c>
      <c r="E41" s="10"/>
      <c r="G41" s="16" t="s">
        <v>270</v>
      </c>
      <c r="H41" s="10"/>
    </row>
    <row r="42" spans="1:25" x14ac:dyDescent="0.25">
      <c r="A42" s="16" t="s">
        <v>64</v>
      </c>
      <c r="B42" s="10"/>
      <c r="D42" s="16" t="s">
        <v>126</v>
      </c>
      <c r="E42" s="10"/>
      <c r="G42" s="16" t="s">
        <v>271</v>
      </c>
      <c r="H42" s="10"/>
    </row>
    <row r="43" spans="1:25" x14ac:dyDescent="0.25">
      <c r="A43" s="16" t="s">
        <v>65</v>
      </c>
      <c r="B43" s="10"/>
      <c r="D43" s="16" t="s">
        <v>127</v>
      </c>
      <c r="E43" s="10"/>
      <c r="G43" s="16" t="s">
        <v>272</v>
      </c>
      <c r="H43" s="10"/>
    </row>
    <row r="44" spans="1:25" x14ac:dyDescent="0.25">
      <c r="A44" s="16" t="s">
        <v>66</v>
      </c>
      <c r="B44" s="10"/>
      <c r="D44" s="16" t="s">
        <v>1</v>
      </c>
      <c r="E44" s="10"/>
      <c r="G44" s="16" t="s">
        <v>273</v>
      </c>
      <c r="H44" s="10"/>
    </row>
    <row r="45" spans="1:25" x14ac:dyDescent="0.25">
      <c r="A45" s="16" t="s">
        <v>67</v>
      </c>
      <c r="B45" s="10"/>
      <c r="D45" s="16" t="s">
        <v>128</v>
      </c>
      <c r="E45" s="10"/>
      <c r="G45" s="16" t="s">
        <v>274</v>
      </c>
      <c r="H45" s="10"/>
    </row>
    <row r="46" spans="1:25" x14ac:dyDescent="0.25">
      <c r="A46" s="16" t="s">
        <v>68</v>
      </c>
      <c r="B46" s="10"/>
      <c r="D46" s="16" t="s">
        <v>129</v>
      </c>
      <c r="E46" s="10"/>
      <c r="G46" s="16" t="s">
        <v>275</v>
      </c>
      <c r="H46" s="10"/>
    </row>
    <row r="47" spans="1:25" x14ac:dyDescent="0.25">
      <c r="A47" s="16" t="s">
        <v>69</v>
      </c>
      <c r="B47" s="10"/>
      <c r="D47" s="16" t="s">
        <v>130</v>
      </c>
      <c r="E47" s="10"/>
      <c r="G47" s="16" t="s">
        <v>276</v>
      </c>
      <c r="H47" s="10"/>
    </row>
    <row r="48" spans="1:25" x14ac:dyDescent="0.25">
      <c r="A48" s="16" t="s">
        <v>70</v>
      </c>
      <c r="B48" s="10"/>
      <c r="D48" s="16" t="s">
        <v>131</v>
      </c>
      <c r="E48" s="10"/>
      <c r="G48" s="16" t="s">
        <v>277</v>
      </c>
      <c r="H48" s="10"/>
    </row>
    <row r="49" spans="1:8" x14ac:dyDescent="0.25">
      <c r="A49" s="16" t="s">
        <v>71</v>
      </c>
      <c r="B49" s="10"/>
      <c r="D49" s="16" t="s">
        <v>132</v>
      </c>
      <c r="E49" s="10"/>
      <c r="G49" s="16" t="s">
        <v>278</v>
      </c>
      <c r="H49" s="10"/>
    </row>
    <row r="50" spans="1:8" x14ac:dyDescent="0.25">
      <c r="A50" s="16" t="s">
        <v>72</v>
      </c>
      <c r="B50" s="10"/>
      <c r="D50" s="16" t="s">
        <v>0</v>
      </c>
      <c r="E50" s="10"/>
      <c r="G50" s="16" t="s">
        <v>279</v>
      </c>
      <c r="H50" s="10"/>
    </row>
    <row r="51" spans="1:8" x14ac:dyDescent="0.25">
      <c r="A51" s="16" t="s">
        <v>73</v>
      </c>
      <c r="B51" s="10"/>
      <c r="D51" s="16" t="s">
        <v>133</v>
      </c>
      <c r="E51" s="10"/>
      <c r="G51" s="16" t="s">
        <v>280</v>
      </c>
      <c r="H51" s="10"/>
    </row>
    <row r="52" spans="1:8" x14ac:dyDescent="0.25">
      <c r="A52" s="16" t="s">
        <v>74</v>
      </c>
      <c r="B52" s="10"/>
      <c r="D52" s="16" t="s">
        <v>134</v>
      </c>
      <c r="E52" s="10"/>
      <c r="G52" s="16" t="s">
        <v>281</v>
      </c>
      <c r="H52" s="10"/>
    </row>
    <row r="53" spans="1:8" x14ac:dyDescent="0.25">
      <c r="A53" s="16" t="s">
        <v>75</v>
      </c>
      <c r="B53" s="10"/>
      <c r="D53" s="16" t="s">
        <v>135</v>
      </c>
      <c r="E53" s="10"/>
      <c r="G53" s="16" t="s">
        <v>282</v>
      </c>
      <c r="H53" s="10"/>
    </row>
    <row r="54" spans="1:8" x14ac:dyDescent="0.25">
      <c r="A54" s="16" t="s">
        <v>76</v>
      </c>
      <c r="B54" s="10"/>
      <c r="D54" s="16" t="s">
        <v>5</v>
      </c>
      <c r="E54" s="10"/>
      <c r="G54" s="16" t="s">
        <v>283</v>
      </c>
      <c r="H54" s="10"/>
    </row>
    <row r="55" spans="1:8" x14ac:dyDescent="0.25">
      <c r="A55" s="16" t="s">
        <v>77</v>
      </c>
      <c r="B55" s="10"/>
      <c r="D55" s="16" t="s">
        <v>136</v>
      </c>
      <c r="E55" s="10"/>
      <c r="G55" s="16" t="s">
        <v>284</v>
      </c>
      <c r="H55" s="10"/>
    </row>
    <row r="56" spans="1:8" x14ac:dyDescent="0.25">
      <c r="A56" s="16" t="s">
        <v>78</v>
      </c>
      <c r="B56" s="10"/>
      <c r="D56" s="16" t="s">
        <v>137</v>
      </c>
      <c r="E56" s="10"/>
      <c r="G56" s="16" t="s">
        <v>285</v>
      </c>
      <c r="H56" s="10"/>
    </row>
    <row r="57" spans="1:8" x14ac:dyDescent="0.25">
      <c r="A57" s="16" t="s">
        <v>79</v>
      </c>
      <c r="B57" s="10"/>
      <c r="D57" s="16" t="s">
        <v>138</v>
      </c>
      <c r="E57" s="10"/>
      <c r="G57" s="16" t="s">
        <v>286</v>
      </c>
      <c r="H57" s="10"/>
    </row>
    <row r="58" spans="1:8" x14ac:dyDescent="0.25">
      <c r="A58" s="16" t="s">
        <v>80</v>
      </c>
      <c r="B58" s="10"/>
      <c r="D58" s="16" t="s">
        <v>139</v>
      </c>
      <c r="E58" s="10"/>
      <c r="G58" s="16" t="s">
        <v>287</v>
      </c>
      <c r="H58" s="10"/>
    </row>
    <row r="59" spans="1:8" x14ac:dyDescent="0.25">
      <c r="A59" s="16" t="s">
        <v>81</v>
      </c>
      <c r="B59" s="10"/>
      <c r="D59" s="16" t="s">
        <v>140</v>
      </c>
      <c r="E59" s="10"/>
      <c r="G59" s="16" t="s">
        <v>288</v>
      </c>
      <c r="H59" s="10"/>
    </row>
    <row r="60" spans="1:8" x14ac:dyDescent="0.25">
      <c r="A60" s="16" t="s">
        <v>82</v>
      </c>
      <c r="B60" s="10"/>
      <c r="D60" s="16" t="s">
        <v>25</v>
      </c>
      <c r="E60" s="10"/>
      <c r="G60" s="16" t="s">
        <v>289</v>
      </c>
      <c r="H60" s="10"/>
    </row>
    <row r="61" spans="1:8" x14ac:dyDescent="0.25">
      <c r="A61" s="16" t="s">
        <v>83</v>
      </c>
      <c r="B61" s="10"/>
      <c r="D61" s="16" t="s">
        <v>141</v>
      </c>
      <c r="E61" s="10"/>
      <c r="G61" s="16" t="s">
        <v>290</v>
      </c>
      <c r="H61" s="10"/>
    </row>
    <row r="62" spans="1:8" x14ac:dyDescent="0.25">
      <c r="A62" s="16" t="s">
        <v>26</v>
      </c>
      <c r="B62" s="10"/>
      <c r="D62" s="16" t="s">
        <v>142</v>
      </c>
      <c r="E62" s="10"/>
      <c r="G62" s="16" t="s">
        <v>291</v>
      </c>
      <c r="H62" s="10"/>
    </row>
    <row r="63" spans="1:8" x14ac:dyDescent="0.25">
      <c r="A63" s="16" t="s">
        <v>84</v>
      </c>
      <c r="B63" s="10"/>
      <c r="D63" s="16" t="s">
        <v>143</v>
      </c>
      <c r="E63" s="10"/>
      <c r="G63" s="16" t="s">
        <v>292</v>
      </c>
      <c r="H63" s="10"/>
    </row>
    <row r="64" spans="1:8" x14ac:dyDescent="0.25">
      <c r="A64" s="16" t="s">
        <v>85</v>
      </c>
      <c r="B64" s="10"/>
      <c r="D64" s="16" t="s">
        <v>6</v>
      </c>
      <c r="E64" s="10"/>
      <c r="G64" s="16" t="s">
        <v>293</v>
      </c>
      <c r="H64" s="10"/>
    </row>
    <row r="65" spans="1:8" x14ac:dyDescent="0.25">
      <c r="A65" s="16" t="s">
        <v>86</v>
      </c>
      <c r="B65" s="10"/>
      <c r="D65" s="16" t="s">
        <v>7</v>
      </c>
      <c r="E65" s="10"/>
      <c r="G65" s="16"/>
      <c r="H65" s="10"/>
    </row>
    <row r="66" spans="1:8" x14ac:dyDescent="0.25">
      <c r="A66" s="16" t="s">
        <v>87</v>
      </c>
      <c r="B66" s="10"/>
      <c r="D66" s="16" t="s">
        <v>144</v>
      </c>
      <c r="E66" s="10"/>
      <c r="G66" s="16"/>
      <c r="H66" s="10"/>
    </row>
    <row r="67" spans="1:8" x14ac:dyDescent="0.25">
      <c r="A67" s="16" t="s">
        <v>88</v>
      </c>
      <c r="B67" s="10"/>
      <c r="D67" s="16" t="s">
        <v>21</v>
      </c>
      <c r="E67" s="10"/>
      <c r="G67" s="16"/>
      <c r="H67" s="10"/>
    </row>
    <row r="68" spans="1:8" x14ac:dyDescent="0.25">
      <c r="A68" s="16" t="s">
        <v>89</v>
      </c>
      <c r="B68" s="10"/>
      <c r="D68" s="16" t="s">
        <v>79</v>
      </c>
      <c r="E68" s="10"/>
      <c r="G68" s="16"/>
      <c r="H68" s="10"/>
    </row>
    <row r="69" spans="1:8" x14ac:dyDescent="0.25">
      <c r="A69" s="16" t="s">
        <v>90</v>
      </c>
      <c r="B69" s="10"/>
      <c r="D69" s="16" t="s">
        <v>145</v>
      </c>
      <c r="E69" s="10"/>
      <c r="G69" s="16"/>
      <c r="H69" s="10"/>
    </row>
    <row r="70" spans="1:8" x14ac:dyDescent="0.25">
      <c r="A70" s="16" t="s">
        <v>91</v>
      </c>
      <c r="B70" s="10"/>
      <c r="D70" s="16" t="s">
        <v>9</v>
      </c>
      <c r="E70" s="10"/>
      <c r="G70" s="16"/>
      <c r="H70" s="10"/>
    </row>
    <row r="71" spans="1:8" x14ac:dyDescent="0.25">
      <c r="A71" s="16" t="s">
        <v>8</v>
      </c>
      <c r="B71" s="10"/>
    </row>
    <row r="72" spans="1:8" x14ac:dyDescent="0.25">
      <c r="A72" s="16" t="s">
        <v>9</v>
      </c>
      <c r="B72" s="10"/>
    </row>
    <row r="73" spans="1:8" x14ac:dyDescent="0.25">
      <c r="A73" s="16" t="s">
        <v>92</v>
      </c>
      <c r="B73" s="10"/>
    </row>
    <row r="74" spans="1:8" x14ac:dyDescent="0.25">
      <c r="A74" s="16" t="s">
        <v>93</v>
      </c>
      <c r="B74" s="10"/>
    </row>
  </sheetData>
  <hyperlinks>
    <hyperlink ref="P14" r:id="rId1" xr:uid="{594120DE-2E9F-44F2-AA76-5E680D8745AE}"/>
  </hyperlinks>
  <pageMargins left="0.7" right="0.7" top="0.75" bottom="0.75" header="0.3" footer="0.3"/>
  <pageSetup scale="10" orientation="portrait" horizontalDpi="4294967293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6682C-4C9F-4D29-832A-0EA1C869860F}">
  <sheetPr codeName="Sheet2">
    <tabColor rgb="FF92D050"/>
  </sheetPr>
  <dimension ref="A1:BI169"/>
  <sheetViews>
    <sheetView topLeftCell="A61" workbookViewId="0">
      <selection activeCell="B71" sqref="B71"/>
    </sheetView>
  </sheetViews>
  <sheetFormatPr defaultRowHeight="15" x14ac:dyDescent="0.25"/>
  <cols>
    <col min="1" max="1" width="13.140625" bestFit="1" customWidth="1"/>
    <col min="3" max="3" width="7.5703125" bestFit="1" customWidth="1"/>
    <col min="4" max="4" width="7.85546875" bestFit="1" customWidth="1"/>
    <col min="5" max="5" width="8.5703125" bestFit="1" customWidth="1"/>
    <col min="6" max="6" width="7.5703125" bestFit="1" customWidth="1"/>
    <col min="7" max="7" width="7.85546875" bestFit="1" customWidth="1"/>
    <col min="8" max="8" width="8.5703125" bestFit="1" customWidth="1"/>
    <col min="11" max="11" width="16.7109375" bestFit="1" customWidth="1"/>
    <col min="12" max="12" width="13.42578125" customWidth="1"/>
    <col min="13" max="13" width="16.7109375" bestFit="1" customWidth="1"/>
    <col min="42" max="16384" width="9.140625" style="18"/>
  </cols>
  <sheetData>
    <row r="1" spans="1:61" x14ac:dyDescent="0.25">
      <c r="A1" t="s">
        <v>181</v>
      </c>
      <c r="B1" s="40" t="str">
        <f>B71</f>
        <v>Person1</v>
      </c>
      <c r="C1" s="40"/>
      <c r="D1" s="40" t="str">
        <f>B72</f>
        <v>Person2</v>
      </c>
      <c r="E1" s="40"/>
      <c r="F1" s="40" t="str">
        <f>B73</f>
        <v>Person3</v>
      </c>
      <c r="G1" s="40"/>
      <c r="H1" s="40" t="str">
        <f>B74</f>
        <v>Person4</v>
      </c>
      <c r="I1" s="40"/>
      <c r="J1" s="40" t="str">
        <f>B75</f>
        <v>Person5</v>
      </c>
      <c r="K1" s="40"/>
      <c r="L1" s="40" t="str">
        <f>B76</f>
        <v>Person6</v>
      </c>
      <c r="M1" s="40"/>
      <c r="N1" s="40" t="str">
        <f>B77</f>
        <v>Person7</v>
      </c>
      <c r="O1" s="40"/>
      <c r="P1" s="40" t="str">
        <f>B78</f>
        <v>Person8</v>
      </c>
      <c r="Q1" s="40"/>
      <c r="R1" s="40" t="str">
        <f>B79</f>
        <v>Person9</v>
      </c>
      <c r="S1" s="40"/>
      <c r="T1" s="40" t="str">
        <f>B80</f>
        <v>Person10</v>
      </c>
      <c r="U1" s="40"/>
      <c r="V1" s="40" t="str">
        <f>B81</f>
        <v>Person11</v>
      </c>
      <c r="W1" s="40"/>
      <c r="X1" s="40" t="str">
        <f>B82</f>
        <v>Person12</v>
      </c>
      <c r="Y1" s="40"/>
      <c r="Z1" s="40" t="str">
        <f>B83</f>
        <v>Person13</v>
      </c>
      <c r="AA1" s="40"/>
      <c r="AB1" s="40" t="str">
        <f>B84</f>
        <v>Person14</v>
      </c>
      <c r="AC1" s="40"/>
      <c r="AD1" s="40" t="str">
        <f>B85</f>
        <v>Person15</v>
      </c>
      <c r="AE1" s="40"/>
      <c r="AF1" s="40" t="str">
        <f>B86</f>
        <v>Person16</v>
      </c>
      <c r="AG1" s="40"/>
      <c r="AH1" s="40" t="str">
        <f>B87</f>
        <v>Person17</v>
      </c>
      <c r="AI1" s="40"/>
      <c r="AJ1" s="40" t="str">
        <f>B88</f>
        <v>Person18</v>
      </c>
      <c r="AK1" s="40"/>
      <c r="AL1" s="40" t="str">
        <f>B89</f>
        <v>Person19</v>
      </c>
      <c r="AM1" s="40"/>
      <c r="AN1" s="40" t="str">
        <f>B90</f>
        <v>Person20</v>
      </c>
      <c r="AO1" s="40"/>
      <c r="AP1" s="40" t="str">
        <f>B91</f>
        <v>Person21</v>
      </c>
      <c r="AQ1" s="40"/>
      <c r="AR1" s="40" t="str">
        <f>B92</f>
        <v>Person22</v>
      </c>
      <c r="AS1" s="40"/>
      <c r="AT1" s="40" t="str">
        <f>B93</f>
        <v>Person23</v>
      </c>
      <c r="AU1" s="40"/>
      <c r="AV1" s="40" t="str">
        <f>B94</f>
        <v>Person24</v>
      </c>
      <c r="AW1" s="40"/>
      <c r="AX1" s="40" t="str">
        <f>B95</f>
        <v>Person25</v>
      </c>
      <c r="AY1" s="40"/>
      <c r="BG1" s="36"/>
      <c r="BH1" s="36"/>
      <c r="BI1" s="36"/>
    </row>
    <row r="2" spans="1:61" hidden="1" x14ac:dyDescent="0.25">
      <c r="A2" t="s">
        <v>178</v>
      </c>
      <c r="B2" s="23" t="str">
        <f>$P$71</f>
        <v>Disney</v>
      </c>
      <c r="C2" s="23" t="str">
        <f t="shared" ref="C2:AY2" si="0">$P$71</f>
        <v>Disney</v>
      </c>
      <c r="D2" s="23" t="str">
        <f t="shared" si="0"/>
        <v>Disney</v>
      </c>
      <c r="E2" s="23" t="str">
        <f t="shared" si="0"/>
        <v>Disney</v>
      </c>
      <c r="F2" s="23" t="str">
        <f t="shared" si="0"/>
        <v>Disney</v>
      </c>
      <c r="G2" s="23" t="str">
        <f t="shared" si="0"/>
        <v>Disney</v>
      </c>
      <c r="H2" s="23" t="str">
        <f t="shared" si="0"/>
        <v>Disney</v>
      </c>
      <c r="I2" s="23" t="str">
        <f t="shared" si="0"/>
        <v>Disney</v>
      </c>
      <c r="J2" s="23" t="str">
        <f t="shared" si="0"/>
        <v>Disney</v>
      </c>
      <c r="K2" s="23" t="str">
        <f t="shared" si="0"/>
        <v>Disney</v>
      </c>
      <c r="L2" s="23" t="str">
        <f t="shared" si="0"/>
        <v>Disney</v>
      </c>
      <c r="M2" s="23" t="str">
        <f t="shared" si="0"/>
        <v>Disney</v>
      </c>
      <c r="N2" s="23" t="str">
        <f t="shared" si="0"/>
        <v>Disney</v>
      </c>
      <c r="O2" s="23" t="str">
        <f t="shared" si="0"/>
        <v>Disney</v>
      </c>
      <c r="P2" s="23" t="str">
        <f t="shared" si="0"/>
        <v>Disney</v>
      </c>
      <c r="Q2" s="23" t="str">
        <f t="shared" si="0"/>
        <v>Disney</v>
      </c>
      <c r="R2" s="23" t="str">
        <f t="shared" si="0"/>
        <v>Disney</v>
      </c>
      <c r="S2" s="23" t="str">
        <f t="shared" si="0"/>
        <v>Disney</v>
      </c>
      <c r="T2" s="23" t="str">
        <f t="shared" si="0"/>
        <v>Disney</v>
      </c>
      <c r="U2" s="23" t="str">
        <f t="shared" si="0"/>
        <v>Disney</v>
      </c>
      <c r="V2" s="23" t="str">
        <f t="shared" si="0"/>
        <v>Disney</v>
      </c>
      <c r="W2" s="23" t="str">
        <f t="shared" si="0"/>
        <v>Disney</v>
      </c>
      <c r="X2" s="23" t="str">
        <f t="shared" si="0"/>
        <v>Disney</v>
      </c>
      <c r="Y2" s="23" t="str">
        <f t="shared" si="0"/>
        <v>Disney</v>
      </c>
      <c r="Z2" s="23" t="str">
        <f t="shared" si="0"/>
        <v>Disney</v>
      </c>
      <c r="AA2" s="23" t="str">
        <f t="shared" si="0"/>
        <v>Disney</v>
      </c>
      <c r="AB2" s="23" t="str">
        <f t="shared" si="0"/>
        <v>Disney</v>
      </c>
      <c r="AC2" s="23" t="str">
        <f t="shared" si="0"/>
        <v>Disney</v>
      </c>
      <c r="AD2" s="23" t="str">
        <f t="shared" si="0"/>
        <v>Disney</v>
      </c>
      <c r="AE2" s="23" t="str">
        <f t="shared" si="0"/>
        <v>Disney</v>
      </c>
      <c r="AF2" s="23" t="str">
        <f t="shared" si="0"/>
        <v>Disney</v>
      </c>
      <c r="AG2" s="23" t="str">
        <f t="shared" si="0"/>
        <v>Disney</v>
      </c>
      <c r="AH2" s="23" t="str">
        <f t="shared" si="0"/>
        <v>Disney</v>
      </c>
      <c r="AI2" s="23" t="str">
        <f t="shared" si="0"/>
        <v>Disney</v>
      </c>
      <c r="AJ2" s="23" t="str">
        <f t="shared" si="0"/>
        <v>Disney</v>
      </c>
      <c r="AK2" s="23" t="str">
        <f t="shared" si="0"/>
        <v>Disney</v>
      </c>
      <c r="AL2" s="23" t="str">
        <f t="shared" si="0"/>
        <v>Disney</v>
      </c>
      <c r="AM2" s="23" t="str">
        <f t="shared" si="0"/>
        <v>Disney</v>
      </c>
      <c r="AN2" s="23" t="str">
        <f t="shared" si="0"/>
        <v>Disney</v>
      </c>
      <c r="AO2" s="23" t="str">
        <f t="shared" si="0"/>
        <v>Disney</v>
      </c>
      <c r="AP2" s="23" t="str">
        <f t="shared" si="0"/>
        <v>Disney</v>
      </c>
      <c r="AQ2" s="23" t="str">
        <f t="shared" si="0"/>
        <v>Disney</v>
      </c>
      <c r="AR2" s="23" t="str">
        <f t="shared" si="0"/>
        <v>Disney</v>
      </c>
      <c r="AS2" s="23" t="str">
        <f t="shared" si="0"/>
        <v>Disney</v>
      </c>
      <c r="AT2" s="23" t="str">
        <f t="shared" si="0"/>
        <v>Disney</v>
      </c>
      <c r="AU2" s="23" t="str">
        <f t="shared" si="0"/>
        <v>Disney</v>
      </c>
      <c r="AV2" s="23" t="str">
        <f t="shared" si="0"/>
        <v>Disney</v>
      </c>
      <c r="AW2" s="23" t="str">
        <f t="shared" si="0"/>
        <v>Disney</v>
      </c>
      <c r="AX2" s="23" t="str">
        <f t="shared" si="0"/>
        <v>Disney</v>
      </c>
      <c r="AY2" s="23" t="str">
        <f t="shared" si="0"/>
        <v>Disney</v>
      </c>
    </row>
    <row r="3" spans="1:61" x14ac:dyDescent="0.25">
      <c r="A3" t="s">
        <v>179</v>
      </c>
      <c r="B3" s="23" t="s">
        <v>176</v>
      </c>
      <c r="C3" s="23" t="s">
        <v>177</v>
      </c>
      <c r="D3" s="23" t="s">
        <v>176</v>
      </c>
      <c r="E3" s="23" t="s">
        <v>177</v>
      </c>
      <c r="F3" s="23" t="s">
        <v>176</v>
      </c>
      <c r="G3" s="23" t="s">
        <v>177</v>
      </c>
      <c r="H3" s="23" t="s">
        <v>176</v>
      </c>
      <c r="I3" s="23" t="s">
        <v>177</v>
      </c>
      <c r="J3" s="23" t="s">
        <v>176</v>
      </c>
      <c r="K3" s="23" t="s">
        <v>177</v>
      </c>
      <c r="L3" s="23" t="s">
        <v>176</v>
      </c>
      <c r="M3" s="23" t="s">
        <v>177</v>
      </c>
      <c r="N3" s="23" t="s">
        <v>176</v>
      </c>
      <c r="O3" s="23" t="s">
        <v>177</v>
      </c>
      <c r="P3" s="23" t="s">
        <v>176</v>
      </c>
      <c r="Q3" s="23" t="s">
        <v>177</v>
      </c>
      <c r="R3" s="23" t="s">
        <v>176</v>
      </c>
      <c r="S3" s="23" t="s">
        <v>177</v>
      </c>
      <c r="T3" s="23" t="s">
        <v>176</v>
      </c>
      <c r="U3" s="23" t="s">
        <v>177</v>
      </c>
      <c r="V3" s="23" t="s">
        <v>176</v>
      </c>
      <c r="W3" s="23" t="s">
        <v>177</v>
      </c>
      <c r="X3" s="23" t="s">
        <v>176</v>
      </c>
      <c r="Y3" s="23" t="s">
        <v>177</v>
      </c>
      <c r="Z3" s="23" t="s">
        <v>176</v>
      </c>
      <c r="AA3" s="23" t="s">
        <v>177</v>
      </c>
      <c r="AB3" s="23" t="s">
        <v>176</v>
      </c>
      <c r="AC3" s="23" t="s">
        <v>177</v>
      </c>
      <c r="AD3" s="23" t="s">
        <v>176</v>
      </c>
      <c r="AE3" s="23" t="s">
        <v>177</v>
      </c>
      <c r="AF3" s="23" t="s">
        <v>176</v>
      </c>
      <c r="AG3" s="23" t="s">
        <v>177</v>
      </c>
      <c r="AH3" s="23" t="s">
        <v>176</v>
      </c>
      <c r="AI3" s="23" t="s">
        <v>177</v>
      </c>
      <c r="AJ3" s="23" t="s">
        <v>176</v>
      </c>
      <c r="AK3" s="23" t="s">
        <v>177</v>
      </c>
      <c r="AL3" s="23" t="s">
        <v>176</v>
      </c>
      <c r="AM3" s="23" t="s">
        <v>177</v>
      </c>
      <c r="AN3" s="23" t="s">
        <v>176</v>
      </c>
      <c r="AO3" s="23" t="s">
        <v>177</v>
      </c>
      <c r="AP3" s="23" t="s">
        <v>176</v>
      </c>
      <c r="AQ3" s="23" t="s">
        <v>177</v>
      </c>
      <c r="AR3" s="23" t="s">
        <v>176</v>
      </c>
      <c r="AS3" s="23" t="s">
        <v>177</v>
      </c>
      <c r="AT3" s="23" t="s">
        <v>176</v>
      </c>
      <c r="AU3" s="23" t="s">
        <v>177</v>
      </c>
      <c r="AV3" s="23" t="s">
        <v>176</v>
      </c>
      <c r="AW3" s="23" t="s">
        <v>177</v>
      </c>
      <c r="AX3" s="23" t="s">
        <v>176</v>
      </c>
      <c r="AY3" s="23" t="s">
        <v>177</v>
      </c>
    </row>
    <row r="4" spans="1:61" x14ac:dyDescent="0.25">
      <c r="A4" t="s">
        <v>180</v>
      </c>
      <c r="B4" s="2">
        <v>1</v>
      </c>
      <c r="C4" s="2">
        <v>2</v>
      </c>
      <c r="D4" s="2">
        <v>3</v>
      </c>
      <c r="E4" s="2">
        <v>4</v>
      </c>
      <c r="F4" s="2">
        <v>5</v>
      </c>
      <c r="G4" s="2">
        <v>6</v>
      </c>
      <c r="H4" s="2">
        <v>7</v>
      </c>
      <c r="I4" s="2">
        <v>8</v>
      </c>
      <c r="J4" s="2">
        <v>9</v>
      </c>
      <c r="K4" s="2">
        <v>10</v>
      </c>
      <c r="L4" s="2">
        <v>11</v>
      </c>
      <c r="M4" s="2">
        <v>12</v>
      </c>
      <c r="N4" s="2">
        <v>13</v>
      </c>
      <c r="O4" s="2">
        <v>14</v>
      </c>
      <c r="P4" s="2">
        <v>15</v>
      </c>
      <c r="Q4" s="2">
        <v>16</v>
      </c>
      <c r="R4" s="2">
        <v>17</v>
      </c>
      <c r="S4" s="2">
        <v>18</v>
      </c>
      <c r="T4" s="2">
        <v>19</v>
      </c>
      <c r="U4" s="2">
        <v>20</v>
      </c>
      <c r="V4" s="2">
        <v>21</v>
      </c>
      <c r="W4" s="2">
        <v>22</v>
      </c>
      <c r="X4" s="2">
        <v>23</v>
      </c>
      <c r="Y4" s="2">
        <v>24</v>
      </c>
      <c r="Z4" s="2">
        <v>25</v>
      </c>
      <c r="AA4" s="2">
        <v>26</v>
      </c>
      <c r="AB4" s="2">
        <v>27</v>
      </c>
      <c r="AC4" s="2">
        <v>28</v>
      </c>
      <c r="AD4" s="2">
        <v>29</v>
      </c>
      <c r="AE4" s="2">
        <v>30</v>
      </c>
      <c r="AF4" s="2">
        <v>31</v>
      </c>
      <c r="AG4" s="2">
        <v>32</v>
      </c>
      <c r="AH4" s="2">
        <v>33</v>
      </c>
      <c r="AI4" s="2">
        <v>34</v>
      </c>
      <c r="AJ4" s="2">
        <v>35</v>
      </c>
      <c r="AK4" s="2">
        <v>36</v>
      </c>
      <c r="AL4" s="2">
        <v>37</v>
      </c>
      <c r="AM4" s="2">
        <v>38</v>
      </c>
      <c r="AN4" s="2">
        <v>39</v>
      </c>
      <c r="AO4" s="2">
        <v>40</v>
      </c>
      <c r="AP4" s="2">
        <v>41</v>
      </c>
      <c r="AQ4" s="2">
        <v>42</v>
      </c>
      <c r="AR4" s="2">
        <v>43</v>
      </c>
      <c r="AS4" s="2">
        <v>44</v>
      </c>
      <c r="AT4" s="2">
        <v>45</v>
      </c>
      <c r="AU4" s="2">
        <v>46</v>
      </c>
      <c r="AV4" s="2">
        <v>47</v>
      </c>
      <c r="AW4" s="2">
        <v>48</v>
      </c>
      <c r="AX4" s="2">
        <v>49</v>
      </c>
      <c r="AY4" s="2">
        <v>50</v>
      </c>
    </row>
    <row r="5" spans="1:61" x14ac:dyDescent="0.25">
      <c r="A5" s="13">
        <v>1</v>
      </c>
      <c r="B5" s="21">
        <v>11</v>
      </c>
      <c r="C5" s="21">
        <v>43</v>
      </c>
      <c r="D5" s="21">
        <v>48</v>
      </c>
      <c r="E5" s="21">
        <v>52</v>
      </c>
      <c r="F5" s="21">
        <v>35</v>
      </c>
      <c r="G5" s="21">
        <v>20</v>
      </c>
      <c r="H5" s="21">
        <v>59</v>
      </c>
      <c r="I5" s="21">
        <v>7</v>
      </c>
      <c r="J5" s="21">
        <v>49</v>
      </c>
      <c r="K5" s="21">
        <v>22</v>
      </c>
      <c r="L5" s="21">
        <v>42</v>
      </c>
      <c r="M5" s="21">
        <v>3</v>
      </c>
      <c r="N5" s="21">
        <v>24</v>
      </c>
      <c r="O5" s="21">
        <v>3</v>
      </c>
      <c r="P5" s="21">
        <v>42</v>
      </c>
      <c r="Q5" s="21">
        <v>28</v>
      </c>
      <c r="R5" s="21">
        <v>30</v>
      </c>
      <c r="S5" s="21">
        <v>56</v>
      </c>
      <c r="T5" s="21">
        <v>32</v>
      </c>
      <c r="U5" s="21">
        <v>4</v>
      </c>
      <c r="V5" s="21">
        <v>24</v>
      </c>
      <c r="W5" s="21">
        <v>38</v>
      </c>
      <c r="X5" s="21">
        <v>20</v>
      </c>
      <c r="Y5" s="21">
        <v>24</v>
      </c>
      <c r="Z5" s="21">
        <v>39</v>
      </c>
      <c r="AA5" s="21">
        <v>34</v>
      </c>
      <c r="AB5" s="21">
        <v>1</v>
      </c>
      <c r="AC5" s="21">
        <v>22</v>
      </c>
      <c r="AD5" s="21">
        <v>54</v>
      </c>
      <c r="AE5" s="21">
        <v>39</v>
      </c>
      <c r="AF5" s="21">
        <v>36</v>
      </c>
      <c r="AG5" s="21">
        <v>58</v>
      </c>
      <c r="AH5" s="21">
        <v>36</v>
      </c>
      <c r="AI5" s="21">
        <v>59</v>
      </c>
      <c r="AJ5" s="21">
        <v>11</v>
      </c>
      <c r="AK5" s="21">
        <v>7</v>
      </c>
      <c r="AL5" s="21">
        <v>54</v>
      </c>
      <c r="AM5" s="21">
        <v>6</v>
      </c>
      <c r="AN5" s="21">
        <v>39</v>
      </c>
      <c r="AO5" s="21">
        <v>40</v>
      </c>
      <c r="AP5" s="21">
        <v>22</v>
      </c>
      <c r="AQ5" s="21">
        <v>58</v>
      </c>
      <c r="AR5" s="21">
        <v>49</v>
      </c>
      <c r="AS5" s="21">
        <v>7</v>
      </c>
      <c r="AT5" s="21">
        <v>60</v>
      </c>
      <c r="AU5" s="21">
        <v>59</v>
      </c>
      <c r="AV5" s="21">
        <v>61</v>
      </c>
      <c r="AW5" s="21">
        <v>20</v>
      </c>
      <c r="AX5" s="21">
        <v>11</v>
      </c>
      <c r="AY5" s="21">
        <v>13</v>
      </c>
    </row>
    <row r="6" spans="1:61" x14ac:dyDescent="0.25">
      <c r="A6" s="13">
        <v>2</v>
      </c>
      <c r="B6" s="21">
        <v>30</v>
      </c>
      <c r="C6" s="21">
        <v>16</v>
      </c>
      <c r="D6" s="21">
        <v>27</v>
      </c>
      <c r="E6" s="21">
        <v>25</v>
      </c>
      <c r="F6" s="21">
        <v>3</v>
      </c>
      <c r="G6" s="21">
        <v>8</v>
      </c>
      <c r="H6" s="21">
        <v>20</v>
      </c>
      <c r="I6" s="21">
        <v>33</v>
      </c>
      <c r="J6" s="21">
        <v>54</v>
      </c>
      <c r="K6" s="21">
        <v>55</v>
      </c>
      <c r="L6" s="21">
        <v>38</v>
      </c>
      <c r="M6" s="21">
        <v>30</v>
      </c>
      <c r="N6" s="21">
        <v>29</v>
      </c>
      <c r="O6" s="21">
        <v>25</v>
      </c>
      <c r="P6" s="21">
        <v>14</v>
      </c>
      <c r="Q6" s="21">
        <v>2</v>
      </c>
      <c r="R6" s="21">
        <v>3</v>
      </c>
      <c r="S6" s="21">
        <v>8</v>
      </c>
      <c r="T6" s="21">
        <v>45</v>
      </c>
      <c r="U6" s="21">
        <v>58</v>
      </c>
      <c r="V6" s="21">
        <v>19</v>
      </c>
      <c r="W6" s="21">
        <v>59</v>
      </c>
      <c r="X6" s="21">
        <v>11</v>
      </c>
      <c r="Y6" s="21">
        <v>20</v>
      </c>
      <c r="Z6" s="21">
        <v>50</v>
      </c>
      <c r="AA6" s="21">
        <v>26</v>
      </c>
      <c r="AB6" s="21">
        <v>27</v>
      </c>
      <c r="AC6" s="21">
        <v>7</v>
      </c>
      <c r="AD6" s="21">
        <v>50</v>
      </c>
      <c r="AE6" s="21">
        <v>61</v>
      </c>
      <c r="AF6" s="21">
        <v>15</v>
      </c>
      <c r="AG6" s="21">
        <v>18</v>
      </c>
      <c r="AH6" s="21">
        <v>41</v>
      </c>
      <c r="AI6" s="21">
        <v>29</v>
      </c>
      <c r="AJ6" s="21">
        <v>2</v>
      </c>
      <c r="AK6" s="21">
        <v>13</v>
      </c>
      <c r="AL6" s="21">
        <v>5</v>
      </c>
      <c r="AM6" s="21">
        <v>32</v>
      </c>
      <c r="AN6" s="21">
        <v>10</v>
      </c>
      <c r="AO6" s="21">
        <v>52</v>
      </c>
      <c r="AP6" s="21">
        <v>63</v>
      </c>
      <c r="AQ6" s="21">
        <v>22</v>
      </c>
      <c r="AR6" s="21">
        <v>11</v>
      </c>
      <c r="AS6" s="21">
        <v>56</v>
      </c>
      <c r="AT6" s="21">
        <v>46</v>
      </c>
      <c r="AU6" s="21">
        <v>54</v>
      </c>
      <c r="AV6" s="21">
        <v>42</v>
      </c>
      <c r="AW6" s="21">
        <v>24</v>
      </c>
      <c r="AX6" s="21">
        <v>38</v>
      </c>
      <c r="AY6" s="21">
        <v>3</v>
      </c>
    </row>
    <row r="7" spans="1:61" x14ac:dyDescent="0.25">
      <c r="A7" s="13">
        <v>3</v>
      </c>
      <c r="B7" s="21">
        <v>47</v>
      </c>
      <c r="C7" s="21">
        <v>5</v>
      </c>
      <c r="D7" s="21">
        <v>47</v>
      </c>
      <c r="E7" s="21">
        <v>24</v>
      </c>
      <c r="F7" s="21">
        <v>34</v>
      </c>
      <c r="G7" s="21">
        <v>63</v>
      </c>
      <c r="H7" s="21">
        <v>11</v>
      </c>
      <c r="I7" s="21">
        <v>59</v>
      </c>
      <c r="J7" s="21">
        <v>6</v>
      </c>
      <c r="K7" s="21">
        <v>26</v>
      </c>
      <c r="L7" s="21">
        <v>31</v>
      </c>
      <c r="M7" s="21">
        <v>2</v>
      </c>
      <c r="N7" s="21">
        <v>51</v>
      </c>
      <c r="O7" s="21">
        <v>9</v>
      </c>
      <c r="P7" s="21">
        <v>18</v>
      </c>
      <c r="Q7" s="21">
        <v>3</v>
      </c>
      <c r="R7" s="21">
        <v>33</v>
      </c>
      <c r="S7" s="21">
        <v>5</v>
      </c>
      <c r="T7" s="21">
        <v>1</v>
      </c>
      <c r="U7" s="21">
        <v>43</v>
      </c>
      <c r="V7" s="21">
        <v>27</v>
      </c>
      <c r="W7" s="21">
        <v>36</v>
      </c>
      <c r="X7" s="21">
        <v>43</v>
      </c>
      <c r="Y7" s="21">
        <v>9</v>
      </c>
      <c r="Z7" s="21">
        <v>52</v>
      </c>
      <c r="AA7" s="21">
        <v>18</v>
      </c>
      <c r="AB7" s="21">
        <v>47</v>
      </c>
      <c r="AC7" s="21">
        <v>43</v>
      </c>
      <c r="AD7" s="21">
        <v>22</v>
      </c>
      <c r="AE7" s="21">
        <v>47</v>
      </c>
      <c r="AF7" s="21">
        <v>13</v>
      </c>
      <c r="AG7" s="21">
        <v>31</v>
      </c>
      <c r="AH7" s="21">
        <v>26</v>
      </c>
      <c r="AI7" s="21">
        <v>52</v>
      </c>
      <c r="AJ7" s="21">
        <v>23</v>
      </c>
      <c r="AK7" s="21">
        <v>21</v>
      </c>
      <c r="AL7" s="21">
        <v>19</v>
      </c>
      <c r="AM7" s="21">
        <v>3</v>
      </c>
      <c r="AN7" s="21">
        <v>30</v>
      </c>
      <c r="AO7" s="21">
        <v>24</v>
      </c>
      <c r="AP7" s="21">
        <v>61</v>
      </c>
      <c r="AQ7" s="21">
        <v>38</v>
      </c>
      <c r="AR7" s="21">
        <v>61</v>
      </c>
      <c r="AS7" s="21">
        <v>59</v>
      </c>
      <c r="AT7" s="21">
        <v>41</v>
      </c>
      <c r="AU7" s="21">
        <v>19</v>
      </c>
      <c r="AV7" s="21">
        <v>1</v>
      </c>
      <c r="AW7" s="21">
        <v>50</v>
      </c>
      <c r="AX7" s="21">
        <v>48</v>
      </c>
      <c r="AY7" s="21">
        <v>50</v>
      </c>
    </row>
    <row r="8" spans="1:61" x14ac:dyDescent="0.25">
      <c r="A8" s="13">
        <v>4</v>
      </c>
      <c r="B8" s="21">
        <v>61</v>
      </c>
      <c r="C8" s="21">
        <v>10</v>
      </c>
      <c r="D8" s="21">
        <v>25</v>
      </c>
      <c r="E8" s="21">
        <v>27</v>
      </c>
      <c r="F8" s="21">
        <v>17</v>
      </c>
      <c r="G8" s="21">
        <v>27</v>
      </c>
      <c r="H8" s="21">
        <v>16</v>
      </c>
      <c r="I8" s="21">
        <v>6</v>
      </c>
      <c r="J8" s="21">
        <v>19</v>
      </c>
      <c r="K8" s="21">
        <v>46</v>
      </c>
      <c r="L8" s="21">
        <v>40</v>
      </c>
      <c r="M8" s="21">
        <v>19</v>
      </c>
      <c r="N8" s="21">
        <v>47</v>
      </c>
      <c r="O8" s="21">
        <v>1</v>
      </c>
      <c r="P8" s="21">
        <v>31</v>
      </c>
      <c r="Q8" s="21">
        <v>51</v>
      </c>
      <c r="R8" s="21">
        <v>9</v>
      </c>
      <c r="S8" s="21">
        <v>21</v>
      </c>
      <c r="T8" s="21">
        <v>56</v>
      </c>
      <c r="U8" s="21">
        <v>53</v>
      </c>
      <c r="V8" s="21">
        <v>38</v>
      </c>
      <c r="W8" s="21">
        <v>30</v>
      </c>
      <c r="X8" s="21">
        <v>61</v>
      </c>
      <c r="Y8" s="21">
        <v>36</v>
      </c>
      <c r="Z8" s="21">
        <v>27</v>
      </c>
      <c r="AA8" s="21">
        <v>46</v>
      </c>
      <c r="AB8" s="21">
        <v>56</v>
      </c>
      <c r="AC8" s="21">
        <v>24</v>
      </c>
      <c r="AD8" s="21">
        <v>16</v>
      </c>
      <c r="AE8" s="21">
        <v>30</v>
      </c>
      <c r="AF8" s="21">
        <v>43</v>
      </c>
      <c r="AG8" s="21">
        <v>57</v>
      </c>
      <c r="AH8" s="21">
        <v>5</v>
      </c>
      <c r="AI8" s="21">
        <v>35</v>
      </c>
      <c r="AJ8" s="21">
        <v>52</v>
      </c>
      <c r="AK8" s="21">
        <v>6</v>
      </c>
      <c r="AL8" s="21">
        <v>27</v>
      </c>
      <c r="AM8" s="21">
        <v>56</v>
      </c>
      <c r="AN8" s="21">
        <v>55</v>
      </c>
      <c r="AO8" s="21">
        <v>15</v>
      </c>
      <c r="AP8" s="21">
        <v>39</v>
      </c>
      <c r="AQ8" s="21">
        <v>32</v>
      </c>
      <c r="AR8" s="21">
        <v>63</v>
      </c>
      <c r="AS8" s="21">
        <v>27</v>
      </c>
      <c r="AT8" s="21">
        <v>24</v>
      </c>
      <c r="AU8" s="21">
        <v>46</v>
      </c>
      <c r="AV8" s="21">
        <v>49</v>
      </c>
      <c r="AW8" s="21">
        <v>19</v>
      </c>
      <c r="AX8" s="21">
        <v>39</v>
      </c>
      <c r="AY8" s="21">
        <v>31</v>
      </c>
    </row>
    <row r="9" spans="1:61" x14ac:dyDescent="0.25">
      <c r="A9" s="13">
        <v>5</v>
      </c>
      <c r="B9" s="21">
        <v>16</v>
      </c>
      <c r="C9" s="21">
        <v>49</v>
      </c>
      <c r="D9" s="21">
        <v>42</v>
      </c>
      <c r="E9" s="21">
        <v>26</v>
      </c>
      <c r="F9" s="21">
        <v>13</v>
      </c>
      <c r="G9" s="21">
        <v>56</v>
      </c>
      <c r="H9" s="21">
        <v>12</v>
      </c>
      <c r="I9" s="21">
        <v>16</v>
      </c>
      <c r="J9" s="21">
        <v>38</v>
      </c>
      <c r="K9" s="21">
        <v>14</v>
      </c>
      <c r="L9" s="21">
        <v>53</v>
      </c>
      <c r="M9" s="21">
        <v>43</v>
      </c>
      <c r="N9" s="21">
        <v>55</v>
      </c>
      <c r="O9" s="21">
        <v>49</v>
      </c>
      <c r="P9" s="21">
        <v>40</v>
      </c>
      <c r="Q9" s="21">
        <v>37</v>
      </c>
      <c r="R9" s="21">
        <v>55</v>
      </c>
      <c r="S9" s="21">
        <v>22</v>
      </c>
      <c r="T9" s="21">
        <v>39</v>
      </c>
      <c r="U9" s="21">
        <v>39</v>
      </c>
      <c r="V9" s="21">
        <v>26</v>
      </c>
      <c r="W9" s="21">
        <v>55</v>
      </c>
      <c r="X9" s="21">
        <v>22</v>
      </c>
      <c r="Y9" s="21">
        <v>34</v>
      </c>
      <c r="Z9" s="21">
        <v>18</v>
      </c>
      <c r="AA9" s="21">
        <v>24</v>
      </c>
      <c r="AB9" s="21">
        <v>22</v>
      </c>
      <c r="AC9" s="21">
        <v>4</v>
      </c>
      <c r="AD9" s="21">
        <v>53</v>
      </c>
      <c r="AE9" s="21">
        <v>15</v>
      </c>
      <c r="AF9" s="21">
        <v>61</v>
      </c>
      <c r="AG9" s="21">
        <v>22</v>
      </c>
      <c r="AH9" s="21">
        <v>48</v>
      </c>
      <c r="AI9" s="21">
        <v>63</v>
      </c>
      <c r="AJ9" s="21">
        <v>47</v>
      </c>
      <c r="AK9" s="21">
        <v>53</v>
      </c>
      <c r="AL9" s="21">
        <v>6</v>
      </c>
      <c r="AM9" s="21">
        <v>28</v>
      </c>
      <c r="AN9" s="21">
        <v>59</v>
      </c>
      <c r="AO9" s="21">
        <v>51</v>
      </c>
      <c r="AP9" s="21">
        <v>4</v>
      </c>
      <c r="AQ9" s="21">
        <v>20</v>
      </c>
      <c r="AR9" s="21">
        <v>35</v>
      </c>
      <c r="AS9" s="21">
        <v>3</v>
      </c>
      <c r="AT9" s="21">
        <v>9</v>
      </c>
      <c r="AU9" s="21">
        <v>5</v>
      </c>
      <c r="AV9" s="21">
        <v>37</v>
      </c>
      <c r="AW9" s="21">
        <v>22</v>
      </c>
      <c r="AX9" s="21">
        <v>26</v>
      </c>
      <c r="AY9" s="21">
        <v>11</v>
      </c>
    </row>
    <row r="10" spans="1:61" x14ac:dyDescent="0.25">
      <c r="A10" s="13">
        <v>6</v>
      </c>
      <c r="B10" s="21">
        <v>40</v>
      </c>
      <c r="C10" s="21">
        <v>57</v>
      </c>
      <c r="D10" s="21">
        <v>19</v>
      </c>
      <c r="E10" s="21">
        <v>16</v>
      </c>
      <c r="F10" s="21">
        <v>7</v>
      </c>
      <c r="G10" s="21">
        <v>48</v>
      </c>
      <c r="H10" s="21">
        <v>36</v>
      </c>
      <c r="I10" s="21">
        <v>34</v>
      </c>
      <c r="J10" s="21">
        <v>55</v>
      </c>
      <c r="K10" s="21">
        <v>39</v>
      </c>
      <c r="L10" s="21">
        <v>16</v>
      </c>
      <c r="M10" s="21">
        <v>15</v>
      </c>
      <c r="N10" s="21">
        <v>39</v>
      </c>
      <c r="O10" s="21">
        <v>7</v>
      </c>
      <c r="P10" s="21">
        <v>43</v>
      </c>
      <c r="Q10" s="21">
        <v>35</v>
      </c>
      <c r="R10" s="21">
        <v>21</v>
      </c>
      <c r="S10" s="21">
        <v>35</v>
      </c>
      <c r="T10" s="21">
        <v>17</v>
      </c>
      <c r="U10" s="21">
        <v>40</v>
      </c>
      <c r="V10" s="21">
        <v>25</v>
      </c>
      <c r="W10" s="21">
        <v>21</v>
      </c>
      <c r="X10" s="21">
        <v>13</v>
      </c>
      <c r="Y10" s="21">
        <v>19</v>
      </c>
      <c r="Z10" s="21">
        <v>40</v>
      </c>
      <c r="AA10" s="21">
        <v>19</v>
      </c>
      <c r="AB10" s="21">
        <v>33</v>
      </c>
      <c r="AC10" s="21">
        <v>1</v>
      </c>
      <c r="AD10" s="21">
        <v>47</v>
      </c>
      <c r="AE10" s="21">
        <v>17</v>
      </c>
      <c r="AF10" s="21">
        <v>58</v>
      </c>
      <c r="AG10" s="21">
        <v>7</v>
      </c>
      <c r="AH10" s="21">
        <v>28</v>
      </c>
      <c r="AI10" s="21">
        <v>23</v>
      </c>
      <c r="AJ10" s="21">
        <v>62</v>
      </c>
      <c r="AK10" s="21">
        <v>57</v>
      </c>
      <c r="AL10" s="21">
        <v>16</v>
      </c>
      <c r="AM10" s="21">
        <v>2</v>
      </c>
      <c r="AN10" s="21">
        <v>42</v>
      </c>
      <c r="AO10" s="21">
        <v>28</v>
      </c>
      <c r="AP10" s="21">
        <v>37</v>
      </c>
      <c r="AQ10" s="21">
        <v>52</v>
      </c>
      <c r="AR10" s="21">
        <v>27</v>
      </c>
      <c r="AS10" s="21">
        <v>9</v>
      </c>
      <c r="AT10" s="21">
        <v>51</v>
      </c>
      <c r="AU10" s="21">
        <v>38</v>
      </c>
      <c r="AV10" s="21">
        <v>62</v>
      </c>
      <c r="AW10" s="21">
        <v>61</v>
      </c>
      <c r="AX10" s="21">
        <v>56</v>
      </c>
      <c r="AY10" s="21">
        <v>23</v>
      </c>
    </row>
    <row r="11" spans="1:61" x14ac:dyDescent="0.25">
      <c r="A11" s="13">
        <v>7</v>
      </c>
      <c r="B11" s="21">
        <v>56</v>
      </c>
      <c r="C11" s="21">
        <v>48</v>
      </c>
      <c r="D11" s="21">
        <v>60</v>
      </c>
      <c r="E11" s="21">
        <v>59</v>
      </c>
      <c r="F11" s="21">
        <v>1</v>
      </c>
      <c r="G11" s="21">
        <v>23</v>
      </c>
      <c r="H11" s="21">
        <v>55</v>
      </c>
      <c r="I11" s="21">
        <v>51</v>
      </c>
      <c r="J11" s="21">
        <v>29</v>
      </c>
      <c r="K11" s="21">
        <v>24</v>
      </c>
      <c r="L11" s="21">
        <v>63</v>
      </c>
      <c r="M11" s="21">
        <v>55</v>
      </c>
      <c r="N11" s="21">
        <v>8</v>
      </c>
      <c r="O11" s="21">
        <v>55</v>
      </c>
      <c r="P11" s="21">
        <v>11</v>
      </c>
      <c r="Q11" s="21">
        <v>18</v>
      </c>
      <c r="R11" s="21">
        <v>28</v>
      </c>
      <c r="S11" s="21">
        <v>4</v>
      </c>
      <c r="T11" s="21">
        <v>51</v>
      </c>
      <c r="U11" s="21">
        <v>3</v>
      </c>
      <c r="V11" s="21">
        <v>50</v>
      </c>
      <c r="W11" s="21">
        <v>12</v>
      </c>
      <c r="X11" s="21">
        <v>25</v>
      </c>
      <c r="Y11" s="21">
        <v>60</v>
      </c>
      <c r="Z11" s="21">
        <v>30</v>
      </c>
      <c r="AA11" s="21">
        <v>45</v>
      </c>
      <c r="AB11" s="21">
        <v>61</v>
      </c>
      <c r="AC11" s="21">
        <v>25</v>
      </c>
      <c r="AD11" s="21">
        <v>41</v>
      </c>
      <c r="AE11" s="21">
        <v>10</v>
      </c>
      <c r="AF11" s="21">
        <v>34</v>
      </c>
      <c r="AG11" s="21">
        <v>17</v>
      </c>
      <c r="AH11" s="21">
        <v>9</v>
      </c>
      <c r="AI11" s="21">
        <v>12</v>
      </c>
      <c r="AJ11" s="21">
        <v>20</v>
      </c>
      <c r="AK11" s="21">
        <v>15</v>
      </c>
      <c r="AL11" s="21">
        <v>20</v>
      </c>
      <c r="AM11" s="21">
        <v>18</v>
      </c>
      <c r="AN11" s="21">
        <v>32</v>
      </c>
      <c r="AO11" s="21">
        <v>16</v>
      </c>
      <c r="AP11" s="21">
        <v>13</v>
      </c>
      <c r="AQ11" s="21">
        <v>54</v>
      </c>
      <c r="AR11" s="21">
        <v>59</v>
      </c>
      <c r="AS11" s="21">
        <v>22</v>
      </c>
      <c r="AT11" s="21">
        <v>14</v>
      </c>
      <c r="AU11" s="21">
        <v>12</v>
      </c>
      <c r="AV11" s="21">
        <v>7</v>
      </c>
      <c r="AW11" s="21">
        <v>34</v>
      </c>
      <c r="AX11" s="21">
        <v>24</v>
      </c>
      <c r="AY11" s="21">
        <v>56</v>
      </c>
    </row>
    <row r="12" spans="1:61" x14ac:dyDescent="0.25">
      <c r="A12" s="13">
        <v>8</v>
      </c>
      <c r="B12" s="21">
        <v>48</v>
      </c>
      <c r="C12" s="21">
        <v>19</v>
      </c>
      <c r="D12" s="21">
        <v>13</v>
      </c>
      <c r="E12" s="21">
        <v>28</v>
      </c>
      <c r="F12" s="21">
        <v>21</v>
      </c>
      <c r="G12" s="21">
        <v>36</v>
      </c>
      <c r="H12" s="21">
        <v>9</v>
      </c>
      <c r="I12" s="21">
        <v>41</v>
      </c>
      <c r="J12" s="21">
        <v>11</v>
      </c>
      <c r="K12" s="21">
        <v>57</v>
      </c>
      <c r="L12" s="21">
        <v>13</v>
      </c>
      <c r="M12" s="21">
        <v>63</v>
      </c>
      <c r="N12" s="21">
        <v>63</v>
      </c>
      <c r="O12" s="21">
        <v>61</v>
      </c>
      <c r="P12" s="21">
        <v>25</v>
      </c>
      <c r="Q12" s="21">
        <v>61</v>
      </c>
      <c r="R12" s="21">
        <v>45</v>
      </c>
      <c r="S12" s="21">
        <v>63</v>
      </c>
      <c r="T12" s="21">
        <v>37</v>
      </c>
      <c r="U12" s="21">
        <v>27</v>
      </c>
      <c r="V12" s="21">
        <v>18</v>
      </c>
      <c r="W12" s="21">
        <v>26</v>
      </c>
      <c r="X12" s="21">
        <v>32</v>
      </c>
      <c r="Y12" s="21">
        <v>54</v>
      </c>
      <c r="Z12" s="21">
        <v>42</v>
      </c>
      <c r="AA12" s="21">
        <v>55</v>
      </c>
      <c r="AB12" s="21">
        <v>62</v>
      </c>
      <c r="AC12" s="21">
        <v>18</v>
      </c>
      <c r="AD12" s="21">
        <v>60</v>
      </c>
      <c r="AE12" s="21">
        <v>51</v>
      </c>
      <c r="AF12" s="21">
        <v>28</v>
      </c>
      <c r="AG12" s="21">
        <v>3</v>
      </c>
      <c r="AH12" s="21">
        <v>16</v>
      </c>
      <c r="AI12" s="21">
        <v>61</v>
      </c>
      <c r="AJ12" s="21">
        <v>21</v>
      </c>
      <c r="AK12" s="21">
        <v>18</v>
      </c>
      <c r="AL12" s="21">
        <v>14</v>
      </c>
      <c r="AM12" s="21">
        <v>1</v>
      </c>
      <c r="AN12" s="21">
        <v>36</v>
      </c>
      <c r="AO12" s="21">
        <v>37</v>
      </c>
      <c r="AP12" s="21">
        <v>18</v>
      </c>
      <c r="AQ12" s="21">
        <v>34</v>
      </c>
      <c r="AR12" s="21">
        <v>29</v>
      </c>
      <c r="AS12" s="21">
        <v>4</v>
      </c>
      <c r="AT12" s="21">
        <v>59</v>
      </c>
      <c r="AU12" s="21">
        <v>25</v>
      </c>
      <c r="AV12" s="21">
        <v>4</v>
      </c>
      <c r="AW12" s="21">
        <v>30</v>
      </c>
      <c r="AX12" s="21">
        <v>19</v>
      </c>
      <c r="AY12" s="21">
        <v>7</v>
      </c>
    </row>
    <row r="13" spans="1:61" x14ac:dyDescent="0.25">
      <c r="A13" s="13">
        <v>9</v>
      </c>
      <c r="B13" s="21">
        <v>57</v>
      </c>
      <c r="C13" s="21">
        <v>33</v>
      </c>
      <c r="D13" s="21">
        <v>36</v>
      </c>
      <c r="E13" s="21">
        <v>48</v>
      </c>
      <c r="F13" s="21">
        <v>33</v>
      </c>
      <c r="G13" s="21">
        <v>58</v>
      </c>
      <c r="H13" s="21">
        <v>5</v>
      </c>
      <c r="I13" s="21">
        <v>45</v>
      </c>
      <c r="J13" s="21">
        <v>18</v>
      </c>
      <c r="K13" s="21">
        <v>38</v>
      </c>
      <c r="L13" s="21">
        <v>18</v>
      </c>
      <c r="M13" s="21">
        <v>32</v>
      </c>
      <c r="N13" s="21">
        <v>15</v>
      </c>
      <c r="O13" s="21">
        <v>30</v>
      </c>
      <c r="P13" s="21">
        <v>9</v>
      </c>
      <c r="Q13" s="21">
        <v>36</v>
      </c>
      <c r="R13" s="21">
        <v>47</v>
      </c>
      <c r="S13" s="21">
        <v>16</v>
      </c>
      <c r="T13" s="21">
        <v>52</v>
      </c>
      <c r="U13" s="21">
        <v>41</v>
      </c>
      <c r="V13" s="21">
        <v>10</v>
      </c>
      <c r="W13" s="21">
        <v>3</v>
      </c>
      <c r="X13" s="21">
        <v>54</v>
      </c>
      <c r="Y13" s="21">
        <v>52</v>
      </c>
      <c r="Z13" s="21">
        <v>33</v>
      </c>
      <c r="AA13" s="21">
        <v>42</v>
      </c>
      <c r="AB13" s="21">
        <v>43</v>
      </c>
      <c r="AC13" s="21">
        <v>34</v>
      </c>
      <c r="AD13" s="21">
        <v>37</v>
      </c>
      <c r="AE13" s="21">
        <v>38</v>
      </c>
      <c r="AF13" s="21">
        <v>1</v>
      </c>
      <c r="AG13" s="21">
        <v>9</v>
      </c>
      <c r="AH13" s="21">
        <v>51</v>
      </c>
      <c r="AI13" s="21">
        <v>51</v>
      </c>
      <c r="AJ13" s="21">
        <v>34</v>
      </c>
      <c r="AK13" s="21">
        <v>41</v>
      </c>
      <c r="AL13" s="21">
        <v>30</v>
      </c>
      <c r="AM13" s="21">
        <v>37</v>
      </c>
      <c r="AN13" s="21">
        <v>21</v>
      </c>
      <c r="AO13" s="21">
        <v>1</v>
      </c>
      <c r="AP13" s="21">
        <v>16</v>
      </c>
      <c r="AQ13" s="21">
        <v>27</v>
      </c>
      <c r="AR13" s="21">
        <v>57</v>
      </c>
      <c r="AS13" s="21">
        <v>1</v>
      </c>
      <c r="AT13" s="21">
        <v>10</v>
      </c>
      <c r="AU13" s="21">
        <v>14</v>
      </c>
      <c r="AV13" s="21">
        <v>23</v>
      </c>
      <c r="AW13" s="21">
        <v>62</v>
      </c>
      <c r="AX13" s="21">
        <v>30</v>
      </c>
      <c r="AY13" s="21">
        <v>35</v>
      </c>
    </row>
    <row r="14" spans="1:61" x14ac:dyDescent="0.25">
      <c r="A14" s="13">
        <v>10</v>
      </c>
      <c r="B14" s="21">
        <v>25</v>
      </c>
      <c r="C14" s="21">
        <v>60</v>
      </c>
      <c r="D14" s="21">
        <v>9</v>
      </c>
      <c r="E14" s="21">
        <v>56</v>
      </c>
      <c r="F14" s="21">
        <v>2</v>
      </c>
      <c r="G14" s="21">
        <v>10</v>
      </c>
      <c r="H14" s="21">
        <v>15</v>
      </c>
      <c r="I14" s="21">
        <v>10</v>
      </c>
      <c r="J14" s="21">
        <v>58</v>
      </c>
      <c r="K14" s="21">
        <v>52</v>
      </c>
      <c r="L14" s="21">
        <v>9</v>
      </c>
      <c r="M14" s="21">
        <v>46</v>
      </c>
      <c r="N14" s="21">
        <v>41</v>
      </c>
      <c r="O14" s="21">
        <v>36</v>
      </c>
      <c r="P14" s="21">
        <v>15</v>
      </c>
      <c r="Q14" s="21">
        <v>31</v>
      </c>
      <c r="R14" s="21">
        <v>18</v>
      </c>
      <c r="S14" s="21">
        <v>59</v>
      </c>
      <c r="T14" s="21">
        <v>24</v>
      </c>
      <c r="U14" s="21">
        <v>13</v>
      </c>
      <c r="V14" s="21">
        <v>11</v>
      </c>
      <c r="W14" s="21">
        <v>11</v>
      </c>
      <c r="X14" s="21">
        <v>57</v>
      </c>
      <c r="Y14" s="21">
        <v>25</v>
      </c>
      <c r="Z14" s="21">
        <v>54</v>
      </c>
      <c r="AA14" s="21">
        <v>21</v>
      </c>
      <c r="AB14" s="21">
        <v>54</v>
      </c>
      <c r="AC14" s="21">
        <v>6</v>
      </c>
      <c r="AD14" s="21">
        <v>25</v>
      </c>
      <c r="AE14" s="21">
        <v>57</v>
      </c>
      <c r="AF14" s="21">
        <v>32</v>
      </c>
      <c r="AG14" s="21">
        <v>46</v>
      </c>
      <c r="AH14" s="21">
        <v>39</v>
      </c>
      <c r="AI14" s="21">
        <v>13</v>
      </c>
      <c r="AJ14" s="21">
        <v>56</v>
      </c>
      <c r="AK14" s="21">
        <v>20</v>
      </c>
      <c r="AL14" s="21">
        <v>35</v>
      </c>
      <c r="AM14" s="21">
        <v>61</v>
      </c>
      <c r="AN14" s="21">
        <v>62</v>
      </c>
      <c r="AO14" s="21">
        <v>19</v>
      </c>
      <c r="AP14" s="21">
        <v>31</v>
      </c>
      <c r="AQ14" s="21">
        <v>57</v>
      </c>
      <c r="AR14" s="21">
        <v>43</v>
      </c>
      <c r="AS14" s="21">
        <v>20</v>
      </c>
      <c r="AT14" s="21">
        <v>30</v>
      </c>
      <c r="AU14" s="21">
        <v>9</v>
      </c>
      <c r="AV14" s="21">
        <v>59</v>
      </c>
      <c r="AW14" s="21">
        <v>48</v>
      </c>
      <c r="AX14" s="21">
        <v>9</v>
      </c>
      <c r="AY14" s="21">
        <v>30</v>
      </c>
    </row>
    <row r="15" spans="1:61" x14ac:dyDescent="0.25">
      <c r="A15" s="13">
        <v>11</v>
      </c>
      <c r="B15" s="21">
        <v>45</v>
      </c>
      <c r="C15" s="21">
        <v>24</v>
      </c>
      <c r="D15" s="21">
        <v>35</v>
      </c>
      <c r="E15" s="21">
        <v>7</v>
      </c>
      <c r="F15" s="21">
        <v>10</v>
      </c>
      <c r="G15" s="21">
        <v>3</v>
      </c>
      <c r="H15" s="21">
        <v>29</v>
      </c>
      <c r="I15" s="21">
        <v>35</v>
      </c>
      <c r="J15" s="21">
        <v>31</v>
      </c>
      <c r="K15" s="21">
        <v>15</v>
      </c>
      <c r="L15" s="21">
        <v>60</v>
      </c>
      <c r="M15" s="21">
        <v>52</v>
      </c>
      <c r="N15" s="21">
        <v>6</v>
      </c>
      <c r="O15" s="21">
        <v>14</v>
      </c>
      <c r="P15" s="21">
        <v>52</v>
      </c>
      <c r="Q15" s="21">
        <v>49</v>
      </c>
      <c r="R15" s="21">
        <v>24</v>
      </c>
      <c r="S15" s="21">
        <v>29</v>
      </c>
      <c r="T15" s="21">
        <v>58</v>
      </c>
      <c r="U15" s="21">
        <v>60</v>
      </c>
      <c r="V15" s="21">
        <v>60</v>
      </c>
      <c r="W15" s="21">
        <v>1</v>
      </c>
      <c r="X15" s="21">
        <v>52</v>
      </c>
      <c r="Y15" s="21">
        <v>47</v>
      </c>
      <c r="Z15" s="21">
        <v>45</v>
      </c>
      <c r="AA15" s="21">
        <v>44</v>
      </c>
      <c r="AB15" s="21">
        <v>36</v>
      </c>
      <c r="AC15" s="21">
        <v>16</v>
      </c>
      <c r="AD15" s="21">
        <v>17</v>
      </c>
      <c r="AE15" s="21">
        <v>2</v>
      </c>
      <c r="AF15" s="21">
        <v>37</v>
      </c>
      <c r="AG15" s="21">
        <v>35</v>
      </c>
      <c r="AH15" s="21">
        <v>35</v>
      </c>
      <c r="AI15" s="21">
        <v>44</v>
      </c>
      <c r="AJ15" s="21">
        <v>18</v>
      </c>
      <c r="AK15" s="21">
        <v>24</v>
      </c>
      <c r="AL15" s="21">
        <v>11</v>
      </c>
      <c r="AM15" s="21">
        <v>20</v>
      </c>
      <c r="AN15" s="21">
        <v>12</v>
      </c>
      <c r="AO15" s="21">
        <v>34</v>
      </c>
      <c r="AP15" s="21">
        <v>49</v>
      </c>
      <c r="AQ15" s="21">
        <v>43</v>
      </c>
      <c r="AR15" s="21">
        <v>1</v>
      </c>
      <c r="AS15" s="21">
        <v>47</v>
      </c>
      <c r="AT15" s="21">
        <v>3</v>
      </c>
      <c r="AU15" s="21">
        <v>20</v>
      </c>
      <c r="AV15" s="21">
        <v>44</v>
      </c>
      <c r="AW15" s="21">
        <v>11</v>
      </c>
      <c r="AX15" s="21">
        <v>16</v>
      </c>
      <c r="AY15" s="21">
        <v>58</v>
      </c>
    </row>
    <row r="16" spans="1:61" x14ac:dyDescent="0.25">
      <c r="A16" s="13">
        <v>12</v>
      </c>
      <c r="B16" s="21">
        <v>31</v>
      </c>
      <c r="C16" s="21">
        <v>23</v>
      </c>
      <c r="D16" s="21">
        <v>15</v>
      </c>
      <c r="E16" s="21">
        <v>40</v>
      </c>
      <c r="F16" s="21">
        <v>22</v>
      </c>
      <c r="G16" s="21">
        <v>5</v>
      </c>
      <c r="H16" s="21">
        <v>13</v>
      </c>
      <c r="I16" s="21">
        <v>12</v>
      </c>
      <c r="J16" s="21">
        <v>45</v>
      </c>
      <c r="K16" s="21">
        <v>56</v>
      </c>
      <c r="L16" s="21">
        <v>44</v>
      </c>
      <c r="M16" s="21">
        <v>9</v>
      </c>
      <c r="N16" s="21">
        <v>60</v>
      </c>
      <c r="O16" s="21">
        <v>8</v>
      </c>
      <c r="P16" s="21">
        <v>12</v>
      </c>
      <c r="Q16" s="21">
        <v>58</v>
      </c>
      <c r="R16" s="21">
        <v>38</v>
      </c>
      <c r="S16" s="21">
        <v>39</v>
      </c>
      <c r="T16" s="21">
        <v>40</v>
      </c>
      <c r="U16" s="21">
        <v>45</v>
      </c>
      <c r="V16" s="21">
        <v>30</v>
      </c>
      <c r="W16" s="21">
        <v>63</v>
      </c>
      <c r="X16" s="21">
        <v>58</v>
      </c>
      <c r="Y16" s="21">
        <v>8</v>
      </c>
      <c r="Z16" s="21">
        <v>5</v>
      </c>
      <c r="AA16" s="21">
        <v>8</v>
      </c>
      <c r="AB16" s="21">
        <v>29</v>
      </c>
      <c r="AC16" s="21">
        <v>41</v>
      </c>
      <c r="AD16" s="21">
        <v>34</v>
      </c>
      <c r="AE16" s="21">
        <v>49</v>
      </c>
      <c r="AF16" s="21">
        <v>17</v>
      </c>
      <c r="AG16" s="21">
        <v>61</v>
      </c>
      <c r="AH16" s="21">
        <v>58</v>
      </c>
      <c r="AI16" s="21">
        <v>28</v>
      </c>
      <c r="AJ16" s="21">
        <v>48</v>
      </c>
      <c r="AK16" s="21">
        <v>45</v>
      </c>
      <c r="AL16" s="21">
        <v>57</v>
      </c>
      <c r="AM16" s="21">
        <v>13</v>
      </c>
      <c r="AN16" s="21">
        <v>5</v>
      </c>
      <c r="AO16" s="21">
        <v>4</v>
      </c>
      <c r="AP16" s="21">
        <v>21</v>
      </c>
      <c r="AQ16" s="21">
        <v>47</v>
      </c>
      <c r="AR16" s="21">
        <v>53</v>
      </c>
      <c r="AS16" s="21">
        <v>36</v>
      </c>
      <c r="AT16" s="21">
        <v>29</v>
      </c>
      <c r="AU16" s="21">
        <v>36</v>
      </c>
      <c r="AV16" s="21">
        <v>63</v>
      </c>
      <c r="AW16" s="21">
        <v>9</v>
      </c>
      <c r="AX16" s="21">
        <v>42</v>
      </c>
      <c r="AY16" s="21">
        <v>43</v>
      </c>
    </row>
    <row r="17" spans="1:51" x14ac:dyDescent="0.25">
      <c r="A17" s="13">
        <v>13</v>
      </c>
      <c r="B17" s="21">
        <v>27</v>
      </c>
      <c r="C17" s="21">
        <v>56</v>
      </c>
      <c r="D17" s="21">
        <v>45</v>
      </c>
      <c r="E17" s="21">
        <v>9</v>
      </c>
      <c r="F17" s="21">
        <v>14</v>
      </c>
      <c r="G17" s="21">
        <v>47</v>
      </c>
      <c r="H17" s="21">
        <v>46</v>
      </c>
      <c r="I17" s="21">
        <v>28</v>
      </c>
      <c r="J17" s="21">
        <v>35</v>
      </c>
      <c r="K17" s="21">
        <v>9</v>
      </c>
      <c r="L17" s="21">
        <v>59</v>
      </c>
      <c r="M17" s="21">
        <v>14</v>
      </c>
      <c r="N17" s="21">
        <v>1</v>
      </c>
      <c r="O17" s="21">
        <v>47</v>
      </c>
      <c r="P17" s="21">
        <v>48</v>
      </c>
      <c r="Q17" s="21">
        <v>8</v>
      </c>
      <c r="R17" s="21">
        <v>14</v>
      </c>
      <c r="S17" s="21">
        <v>37</v>
      </c>
      <c r="T17" s="21">
        <v>47</v>
      </c>
      <c r="U17" s="21">
        <v>14</v>
      </c>
      <c r="V17" s="21">
        <v>23</v>
      </c>
      <c r="W17" s="21">
        <v>51</v>
      </c>
      <c r="X17" s="21">
        <v>33</v>
      </c>
      <c r="Y17" s="21">
        <v>7</v>
      </c>
      <c r="Z17" s="21">
        <v>46</v>
      </c>
      <c r="AA17" s="21">
        <v>58</v>
      </c>
      <c r="AB17" s="21">
        <v>58</v>
      </c>
      <c r="AC17" s="21">
        <v>19</v>
      </c>
      <c r="AD17" s="21">
        <v>35</v>
      </c>
      <c r="AE17" s="21">
        <v>18</v>
      </c>
      <c r="AF17" s="21">
        <v>26</v>
      </c>
      <c r="AG17" s="21">
        <v>60</v>
      </c>
      <c r="AH17" s="21">
        <v>12</v>
      </c>
      <c r="AI17" s="21">
        <v>34</v>
      </c>
      <c r="AJ17" s="21">
        <v>3</v>
      </c>
      <c r="AK17" s="21">
        <v>52</v>
      </c>
      <c r="AL17" s="21">
        <v>25</v>
      </c>
      <c r="AM17" s="21">
        <v>27</v>
      </c>
      <c r="AN17" s="21">
        <v>60</v>
      </c>
      <c r="AO17" s="21">
        <v>55</v>
      </c>
      <c r="AP17" s="21">
        <v>55</v>
      </c>
      <c r="AQ17" s="21">
        <v>49</v>
      </c>
      <c r="AR17" s="21">
        <v>17</v>
      </c>
      <c r="AS17" s="21">
        <v>2</v>
      </c>
      <c r="AT17" s="21">
        <v>40</v>
      </c>
      <c r="AU17" s="21">
        <v>39</v>
      </c>
      <c r="AV17" s="21">
        <v>54</v>
      </c>
      <c r="AW17" s="21">
        <v>25</v>
      </c>
      <c r="AX17" s="21">
        <v>51</v>
      </c>
      <c r="AY17" s="21">
        <v>32</v>
      </c>
    </row>
    <row r="18" spans="1:51" x14ac:dyDescent="0.25">
      <c r="A18" s="13">
        <v>14</v>
      </c>
      <c r="B18" s="21">
        <v>14</v>
      </c>
      <c r="C18" s="21">
        <v>11</v>
      </c>
      <c r="D18" s="21">
        <v>40</v>
      </c>
      <c r="E18" s="21">
        <v>21</v>
      </c>
      <c r="F18" s="21">
        <v>44</v>
      </c>
      <c r="G18" s="21">
        <v>30</v>
      </c>
      <c r="H18" s="21">
        <v>48</v>
      </c>
      <c r="I18" s="21">
        <v>37</v>
      </c>
      <c r="J18" s="21">
        <v>27</v>
      </c>
      <c r="K18" s="21">
        <v>8</v>
      </c>
      <c r="L18" s="21">
        <v>62</v>
      </c>
      <c r="M18" s="21">
        <v>16</v>
      </c>
      <c r="N18" s="21">
        <v>5</v>
      </c>
      <c r="O18" s="21">
        <v>43</v>
      </c>
      <c r="P18" s="21">
        <v>36</v>
      </c>
      <c r="Q18" s="21">
        <v>59</v>
      </c>
      <c r="R18" s="21">
        <v>63</v>
      </c>
      <c r="S18" s="21">
        <v>1</v>
      </c>
      <c r="T18" s="21">
        <v>34</v>
      </c>
      <c r="U18" s="21">
        <v>57</v>
      </c>
      <c r="V18" s="21">
        <v>45</v>
      </c>
      <c r="W18" s="21">
        <v>27</v>
      </c>
      <c r="X18" s="21">
        <v>26</v>
      </c>
      <c r="Y18" s="21">
        <v>39</v>
      </c>
      <c r="Z18" s="21">
        <v>36</v>
      </c>
      <c r="AA18" s="21">
        <v>6</v>
      </c>
      <c r="AB18" s="21">
        <v>41</v>
      </c>
      <c r="AC18" s="21">
        <v>30</v>
      </c>
      <c r="AD18" s="21">
        <v>58</v>
      </c>
      <c r="AE18" s="21">
        <v>40</v>
      </c>
      <c r="AF18" s="21">
        <v>60</v>
      </c>
      <c r="AG18" s="21">
        <v>63</v>
      </c>
      <c r="AH18" s="21">
        <v>24</v>
      </c>
      <c r="AI18" s="21">
        <v>27</v>
      </c>
      <c r="AJ18" s="21">
        <v>63</v>
      </c>
      <c r="AK18" s="21">
        <v>1</v>
      </c>
      <c r="AL18" s="21">
        <v>34</v>
      </c>
      <c r="AM18" s="21">
        <v>7</v>
      </c>
      <c r="AN18" s="21">
        <v>15</v>
      </c>
      <c r="AO18" s="21">
        <v>13</v>
      </c>
      <c r="AP18" s="21">
        <v>56</v>
      </c>
      <c r="AQ18" s="21">
        <v>21</v>
      </c>
      <c r="AR18" s="21">
        <v>56</v>
      </c>
      <c r="AS18" s="21">
        <v>16</v>
      </c>
      <c r="AT18" s="21">
        <v>22</v>
      </c>
      <c r="AU18" s="21">
        <v>55</v>
      </c>
      <c r="AV18" s="21">
        <v>16</v>
      </c>
      <c r="AW18" s="21">
        <v>14</v>
      </c>
      <c r="AX18" s="21">
        <v>6</v>
      </c>
      <c r="AY18" s="21">
        <v>62</v>
      </c>
    </row>
    <row r="19" spans="1:51" x14ac:dyDescent="0.25">
      <c r="A19" s="13">
        <v>15</v>
      </c>
      <c r="B19" s="21">
        <v>37</v>
      </c>
      <c r="C19" s="21">
        <v>36</v>
      </c>
      <c r="D19" s="21">
        <v>61</v>
      </c>
      <c r="E19" s="21">
        <v>51</v>
      </c>
      <c r="F19" s="21">
        <v>38</v>
      </c>
      <c r="G19" s="21">
        <v>51</v>
      </c>
      <c r="H19" s="21">
        <v>58</v>
      </c>
      <c r="I19" s="21">
        <v>54</v>
      </c>
      <c r="J19" s="21">
        <v>12</v>
      </c>
      <c r="K19" s="21">
        <v>4</v>
      </c>
      <c r="L19" s="21">
        <v>12</v>
      </c>
      <c r="M19" s="21">
        <v>36</v>
      </c>
      <c r="N19" s="21">
        <v>9</v>
      </c>
      <c r="O19" s="21">
        <v>41</v>
      </c>
      <c r="P19" s="21">
        <v>28</v>
      </c>
      <c r="Q19" s="21">
        <v>44</v>
      </c>
      <c r="R19" s="21">
        <v>58</v>
      </c>
      <c r="S19" s="21">
        <v>12</v>
      </c>
      <c r="T19" s="21">
        <v>10</v>
      </c>
      <c r="U19" s="21">
        <v>32</v>
      </c>
      <c r="V19" s="21">
        <v>2</v>
      </c>
      <c r="W19" s="21">
        <v>57</v>
      </c>
      <c r="X19" s="21">
        <v>24</v>
      </c>
      <c r="Y19" s="21">
        <v>17</v>
      </c>
      <c r="Z19" s="21">
        <v>41</v>
      </c>
      <c r="AA19" s="21">
        <v>29</v>
      </c>
      <c r="AB19" s="21">
        <v>13</v>
      </c>
      <c r="AC19" s="21">
        <v>2</v>
      </c>
      <c r="AD19" s="21">
        <v>31</v>
      </c>
      <c r="AE19" s="21">
        <v>45</v>
      </c>
      <c r="AF19" s="21">
        <v>38</v>
      </c>
      <c r="AG19" s="21">
        <v>62</v>
      </c>
      <c r="AH19" s="21">
        <v>62</v>
      </c>
      <c r="AI19" s="21">
        <v>43</v>
      </c>
      <c r="AJ19" s="21">
        <v>30</v>
      </c>
      <c r="AK19" s="21">
        <v>11</v>
      </c>
      <c r="AL19" s="21">
        <v>29</v>
      </c>
      <c r="AM19" s="21">
        <v>58</v>
      </c>
      <c r="AN19" s="21">
        <v>33</v>
      </c>
      <c r="AO19" s="21">
        <v>38</v>
      </c>
      <c r="AP19" s="21">
        <v>26</v>
      </c>
      <c r="AQ19" s="21">
        <v>16</v>
      </c>
      <c r="AR19" s="21">
        <v>32</v>
      </c>
      <c r="AS19" s="21">
        <v>54</v>
      </c>
      <c r="AT19" s="21">
        <v>63</v>
      </c>
      <c r="AU19" s="21">
        <v>63</v>
      </c>
      <c r="AV19" s="21">
        <v>40</v>
      </c>
      <c r="AW19" s="21">
        <v>52</v>
      </c>
      <c r="AX19" s="21">
        <v>13</v>
      </c>
      <c r="AY19" s="21">
        <v>54</v>
      </c>
    </row>
    <row r="20" spans="1:51" x14ac:dyDescent="0.25">
      <c r="A20" s="13">
        <v>16</v>
      </c>
      <c r="B20" s="21">
        <v>53</v>
      </c>
      <c r="C20" s="21">
        <v>47</v>
      </c>
      <c r="D20" s="21">
        <v>38</v>
      </c>
      <c r="E20" s="21">
        <v>22</v>
      </c>
      <c r="F20" s="21">
        <v>18</v>
      </c>
      <c r="G20" s="21">
        <v>18</v>
      </c>
      <c r="H20" s="21">
        <v>21</v>
      </c>
      <c r="I20" s="21">
        <v>58</v>
      </c>
      <c r="J20" s="21">
        <v>33</v>
      </c>
      <c r="K20" s="21">
        <v>45</v>
      </c>
      <c r="L20" s="21">
        <v>29</v>
      </c>
      <c r="M20" s="21">
        <v>22</v>
      </c>
      <c r="N20" s="21">
        <v>27</v>
      </c>
      <c r="O20" s="21">
        <v>60</v>
      </c>
      <c r="P20" s="21">
        <v>46</v>
      </c>
      <c r="Q20" s="21">
        <v>41</v>
      </c>
      <c r="R20" s="21">
        <v>39</v>
      </c>
      <c r="S20" s="21">
        <v>32</v>
      </c>
      <c r="T20" s="21">
        <v>54</v>
      </c>
      <c r="U20" s="21">
        <v>9</v>
      </c>
      <c r="V20" s="21">
        <v>55</v>
      </c>
      <c r="W20" s="21">
        <v>62</v>
      </c>
      <c r="X20" s="21">
        <v>27</v>
      </c>
      <c r="Y20" s="21">
        <v>11</v>
      </c>
      <c r="Z20" s="21">
        <v>48</v>
      </c>
      <c r="AA20" s="21">
        <v>25</v>
      </c>
      <c r="AB20" s="21">
        <v>51</v>
      </c>
      <c r="AC20" s="21">
        <v>20</v>
      </c>
      <c r="AD20" s="21">
        <v>21</v>
      </c>
      <c r="AE20" s="21">
        <v>14</v>
      </c>
      <c r="AF20" s="21">
        <v>46</v>
      </c>
      <c r="AG20" s="21">
        <v>56</v>
      </c>
      <c r="AH20" s="21">
        <v>40</v>
      </c>
      <c r="AI20" s="21">
        <v>8</v>
      </c>
      <c r="AJ20" s="21">
        <v>6</v>
      </c>
      <c r="AK20" s="21">
        <v>56</v>
      </c>
      <c r="AL20" s="21">
        <v>7</v>
      </c>
      <c r="AM20" s="21">
        <v>5</v>
      </c>
      <c r="AN20" s="21">
        <v>11</v>
      </c>
      <c r="AO20" s="21">
        <v>6</v>
      </c>
      <c r="AP20" s="21">
        <v>40</v>
      </c>
      <c r="AQ20" s="21">
        <v>45</v>
      </c>
      <c r="AR20" s="21">
        <v>26</v>
      </c>
      <c r="AS20" s="21">
        <v>5</v>
      </c>
      <c r="AT20" s="21">
        <v>17</v>
      </c>
      <c r="AU20" s="21">
        <v>3</v>
      </c>
      <c r="AV20" s="21">
        <v>28</v>
      </c>
      <c r="AW20" s="21">
        <v>4</v>
      </c>
      <c r="AX20" s="21">
        <v>29</v>
      </c>
      <c r="AY20" s="21">
        <v>60</v>
      </c>
    </row>
    <row r="21" spans="1:51" x14ac:dyDescent="0.25">
      <c r="A21" s="13">
        <v>17</v>
      </c>
      <c r="B21" s="21">
        <v>34</v>
      </c>
      <c r="C21" s="21">
        <v>45</v>
      </c>
      <c r="D21" s="21">
        <v>34</v>
      </c>
      <c r="E21" s="21">
        <v>36</v>
      </c>
      <c r="F21" s="21">
        <v>41</v>
      </c>
      <c r="G21" s="21">
        <v>11</v>
      </c>
      <c r="H21" s="21">
        <v>24</v>
      </c>
      <c r="I21" s="21">
        <v>42</v>
      </c>
      <c r="J21" s="21">
        <v>7</v>
      </c>
      <c r="K21" s="21">
        <v>16</v>
      </c>
      <c r="L21" s="21">
        <v>49</v>
      </c>
      <c r="M21" s="21">
        <v>41</v>
      </c>
      <c r="N21" s="21">
        <v>62</v>
      </c>
      <c r="O21" s="21">
        <v>17</v>
      </c>
      <c r="P21" s="21">
        <v>3</v>
      </c>
      <c r="Q21" s="21">
        <v>10</v>
      </c>
      <c r="R21" s="21">
        <v>48</v>
      </c>
      <c r="S21" s="21">
        <v>25</v>
      </c>
      <c r="T21" s="21">
        <v>3</v>
      </c>
      <c r="U21" s="21">
        <v>18</v>
      </c>
      <c r="V21" s="21">
        <v>34</v>
      </c>
      <c r="W21" s="21">
        <v>23</v>
      </c>
      <c r="X21" s="21">
        <v>30</v>
      </c>
      <c r="Y21" s="21">
        <v>33</v>
      </c>
      <c r="Z21" s="21">
        <v>20</v>
      </c>
      <c r="AA21" s="21">
        <v>5</v>
      </c>
      <c r="AB21" s="21">
        <v>8</v>
      </c>
      <c r="AC21" s="21">
        <v>54</v>
      </c>
      <c r="AD21" s="21">
        <v>6</v>
      </c>
      <c r="AE21" s="21">
        <v>19</v>
      </c>
      <c r="AF21" s="21">
        <v>44</v>
      </c>
      <c r="AG21" s="21">
        <v>6</v>
      </c>
      <c r="AH21" s="21">
        <v>7</v>
      </c>
      <c r="AI21" s="21">
        <v>37</v>
      </c>
      <c r="AJ21" s="21">
        <v>46</v>
      </c>
      <c r="AK21" s="21">
        <v>36</v>
      </c>
      <c r="AL21" s="21">
        <v>61</v>
      </c>
      <c r="AM21" s="21">
        <v>22</v>
      </c>
      <c r="AN21" s="21">
        <v>35</v>
      </c>
      <c r="AO21" s="21">
        <v>47</v>
      </c>
      <c r="AP21" s="21">
        <v>54</v>
      </c>
      <c r="AQ21" s="21">
        <v>61</v>
      </c>
      <c r="AR21" s="21">
        <v>7</v>
      </c>
      <c r="AS21" s="21">
        <v>51</v>
      </c>
      <c r="AT21" s="21">
        <v>36</v>
      </c>
      <c r="AU21" s="21">
        <v>17</v>
      </c>
      <c r="AV21" s="21">
        <v>10</v>
      </c>
      <c r="AW21" s="21">
        <v>33</v>
      </c>
      <c r="AX21" s="21">
        <v>55</v>
      </c>
      <c r="AY21" s="21">
        <v>16</v>
      </c>
    </row>
    <row r="22" spans="1:51" x14ac:dyDescent="0.25">
      <c r="A22" s="13">
        <v>18</v>
      </c>
      <c r="B22" s="21">
        <v>10</v>
      </c>
      <c r="C22" s="21">
        <v>53</v>
      </c>
      <c r="D22" s="21">
        <v>50</v>
      </c>
      <c r="E22" s="21">
        <v>49</v>
      </c>
      <c r="F22" s="21">
        <v>60</v>
      </c>
      <c r="G22" s="21">
        <v>42</v>
      </c>
      <c r="H22" s="21">
        <v>28</v>
      </c>
      <c r="I22" s="21">
        <v>40</v>
      </c>
      <c r="J22" s="21">
        <v>63</v>
      </c>
      <c r="K22" s="21">
        <v>12</v>
      </c>
      <c r="L22" s="21">
        <v>30</v>
      </c>
      <c r="M22" s="21">
        <v>47</v>
      </c>
      <c r="N22" s="21">
        <v>42</v>
      </c>
      <c r="O22" s="21">
        <v>34</v>
      </c>
      <c r="P22" s="21">
        <v>44</v>
      </c>
      <c r="Q22" s="21">
        <v>50</v>
      </c>
      <c r="R22" s="21">
        <v>42</v>
      </c>
      <c r="S22" s="21">
        <v>40</v>
      </c>
      <c r="T22" s="21">
        <v>14</v>
      </c>
      <c r="U22" s="21">
        <v>63</v>
      </c>
      <c r="V22" s="21">
        <v>42</v>
      </c>
      <c r="W22" s="21">
        <v>32</v>
      </c>
      <c r="X22" s="21">
        <v>40</v>
      </c>
      <c r="Y22" s="21">
        <v>6</v>
      </c>
      <c r="Z22" s="21">
        <v>37</v>
      </c>
      <c r="AA22" s="21">
        <v>23</v>
      </c>
      <c r="AB22" s="21">
        <v>40</v>
      </c>
      <c r="AC22" s="21">
        <v>53</v>
      </c>
      <c r="AD22" s="21">
        <v>42</v>
      </c>
      <c r="AE22" s="21">
        <v>24</v>
      </c>
      <c r="AF22" s="21">
        <v>56</v>
      </c>
      <c r="AG22" s="21">
        <v>47</v>
      </c>
      <c r="AH22" s="21">
        <v>3</v>
      </c>
      <c r="AI22" s="21">
        <v>20</v>
      </c>
      <c r="AJ22" s="21">
        <v>4</v>
      </c>
      <c r="AK22" s="21">
        <v>61</v>
      </c>
      <c r="AL22" s="21">
        <v>41</v>
      </c>
      <c r="AM22" s="21">
        <v>46</v>
      </c>
      <c r="AN22" s="21">
        <v>57</v>
      </c>
      <c r="AO22" s="21">
        <v>41</v>
      </c>
      <c r="AP22" s="21">
        <v>5</v>
      </c>
      <c r="AQ22" s="21">
        <v>60</v>
      </c>
      <c r="AR22" s="21">
        <v>48</v>
      </c>
      <c r="AS22" s="21">
        <v>50</v>
      </c>
      <c r="AT22" s="21">
        <v>43</v>
      </c>
      <c r="AU22" s="21">
        <v>52</v>
      </c>
      <c r="AV22" s="21">
        <v>30</v>
      </c>
      <c r="AW22" s="21">
        <v>12</v>
      </c>
      <c r="AX22" s="21">
        <v>3</v>
      </c>
      <c r="AY22" s="21">
        <v>14</v>
      </c>
    </row>
    <row r="23" spans="1:51" x14ac:dyDescent="0.25">
      <c r="A23" s="13">
        <v>19</v>
      </c>
      <c r="B23" s="21">
        <v>49</v>
      </c>
      <c r="C23" s="21">
        <v>38</v>
      </c>
      <c r="D23" s="21">
        <v>56</v>
      </c>
      <c r="E23" s="21">
        <v>43</v>
      </c>
      <c r="F23" s="21">
        <v>25</v>
      </c>
      <c r="G23" s="21">
        <v>61</v>
      </c>
      <c r="H23" s="21">
        <v>35</v>
      </c>
      <c r="I23" s="21">
        <v>29</v>
      </c>
      <c r="J23" s="21">
        <v>62</v>
      </c>
      <c r="K23" s="21">
        <v>54</v>
      </c>
      <c r="L23" s="21">
        <v>37</v>
      </c>
      <c r="M23" s="21">
        <v>12</v>
      </c>
      <c r="N23" s="21">
        <v>16</v>
      </c>
      <c r="O23" s="21">
        <v>15</v>
      </c>
      <c r="P23" s="21">
        <v>22</v>
      </c>
      <c r="Q23" s="21">
        <v>16</v>
      </c>
      <c r="R23" s="21">
        <v>6</v>
      </c>
      <c r="S23" s="21">
        <v>57</v>
      </c>
      <c r="T23" s="21">
        <v>42</v>
      </c>
      <c r="U23" s="21">
        <v>22</v>
      </c>
      <c r="V23" s="21">
        <v>63</v>
      </c>
      <c r="W23" s="21">
        <v>2</v>
      </c>
      <c r="X23" s="21">
        <v>62</v>
      </c>
      <c r="Y23" s="21">
        <v>5</v>
      </c>
      <c r="Z23" s="21">
        <v>23</v>
      </c>
      <c r="AA23" s="21">
        <v>3</v>
      </c>
      <c r="AB23" s="21">
        <v>21</v>
      </c>
      <c r="AC23" s="21">
        <v>5</v>
      </c>
      <c r="AD23" s="21">
        <v>62</v>
      </c>
      <c r="AE23" s="21">
        <v>44</v>
      </c>
      <c r="AF23" s="21">
        <v>25</v>
      </c>
      <c r="AG23" s="21">
        <v>29</v>
      </c>
      <c r="AH23" s="21">
        <v>50</v>
      </c>
      <c r="AI23" s="21">
        <v>16</v>
      </c>
      <c r="AJ23" s="21">
        <v>38</v>
      </c>
      <c r="AK23" s="21">
        <v>4</v>
      </c>
      <c r="AL23" s="21">
        <v>18</v>
      </c>
      <c r="AM23" s="21">
        <v>12</v>
      </c>
      <c r="AN23" s="21">
        <v>23</v>
      </c>
      <c r="AO23" s="21">
        <v>57</v>
      </c>
      <c r="AP23" s="21">
        <v>8</v>
      </c>
      <c r="AQ23" s="21">
        <v>10</v>
      </c>
      <c r="AR23" s="21">
        <v>6</v>
      </c>
      <c r="AS23" s="21">
        <v>15</v>
      </c>
      <c r="AT23" s="21">
        <v>48</v>
      </c>
      <c r="AU23" s="21">
        <v>53</v>
      </c>
      <c r="AV23" s="21">
        <v>3</v>
      </c>
      <c r="AW23" s="21">
        <v>17</v>
      </c>
      <c r="AX23" s="21">
        <v>4</v>
      </c>
      <c r="AY23" s="21">
        <v>4</v>
      </c>
    </row>
    <row r="24" spans="1:51" x14ac:dyDescent="0.25">
      <c r="A24" s="13">
        <v>20</v>
      </c>
      <c r="B24" s="21">
        <v>32</v>
      </c>
      <c r="C24" s="21">
        <v>62</v>
      </c>
      <c r="D24" s="21">
        <v>1</v>
      </c>
      <c r="E24" s="21">
        <v>2</v>
      </c>
      <c r="F24" s="21">
        <v>49</v>
      </c>
      <c r="G24" s="21">
        <v>19</v>
      </c>
      <c r="H24" s="21">
        <v>41</v>
      </c>
      <c r="I24" s="21">
        <v>25</v>
      </c>
      <c r="J24" s="21">
        <v>50</v>
      </c>
      <c r="K24" s="21">
        <v>41</v>
      </c>
      <c r="L24" s="21">
        <v>36</v>
      </c>
      <c r="M24" s="21">
        <v>31</v>
      </c>
      <c r="N24" s="21">
        <v>18</v>
      </c>
      <c r="O24" s="21">
        <v>46</v>
      </c>
      <c r="P24" s="21">
        <v>23</v>
      </c>
      <c r="Q24" s="21">
        <v>30</v>
      </c>
      <c r="R24" s="21">
        <v>54</v>
      </c>
      <c r="S24" s="21">
        <v>31</v>
      </c>
      <c r="T24" s="21">
        <v>12</v>
      </c>
      <c r="U24" s="21">
        <v>37</v>
      </c>
      <c r="V24" s="21">
        <v>47</v>
      </c>
      <c r="W24" s="21">
        <v>45</v>
      </c>
      <c r="X24" s="21">
        <v>2</v>
      </c>
      <c r="Y24" s="21">
        <v>38</v>
      </c>
      <c r="Z24" s="21">
        <v>1</v>
      </c>
      <c r="AA24" s="21">
        <v>14</v>
      </c>
      <c r="AB24" s="21">
        <v>23</v>
      </c>
      <c r="AC24" s="21">
        <v>15</v>
      </c>
      <c r="AD24" s="21">
        <v>57</v>
      </c>
      <c r="AE24" s="21">
        <v>60</v>
      </c>
      <c r="AF24" s="21">
        <v>31</v>
      </c>
      <c r="AG24" s="21">
        <v>5</v>
      </c>
      <c r="AH24" s="21">
        <v>18</v>
      </c>
      <c r="AI24" s="21">
        <v>53</v>
      </c>
      <c r="AJ24" s="21">
        <v>43</v>
      </c>
      <c r="AK24" s="21">
        <v>16</v>
      </c>
      <c r="AL24" s="21">
        <v>17</v>
      </c>
      <c r="AM24" s="21">
        <v>43</v>
      </c>
      <c r="AN24" s="21">
        <v>40</v>
      </c>
      <c r="AO24" s="21">
        <v>17</v>
      </c>
      <c r="AP24" s="21">
        <v>53</v>
      </c>
      <c r="AQ24" s="21">
        <v>53</v>
      </c>
      <c r="AR24" s="21">
        <v>5</v>
      </c>
      <c r="AS24" s="21">
        <v>29</v>
      </c>
      <c r="AT24" s="21">
        <v>58</v>
      </c>
      <c r="AU24" s="21">
        <v>21</v>
      </c>
      <c r="AV24" s="21">
        <v>29</v>
      </c>
      <c r="AW24" s="21">
        <v>16</v>
      </c>
      <c r="AX24" s="21">
        <v>27</v>
      </c>
      <c r="AY24" s="21">
        <v>45</v>
      </c>
    </row>
    <row r="25" spans="1:51" x14ac:dyDescent="0.25">
      <c r="A25" s="13">
        <v>21</v>
      </c>
      <c r="B25" s="21">
        <v>3</v>
      </c>
      <c r="C25" s="21">
        <v>2</v>
      </c>
      <c r="D25" s="21">
        <v>18</v>
      </c>
      <c r="E25" s="21">
        <v>10</v>
      </c>
      <c r="F25" s="21">
        <v>47</v>
      </c>
      <c r="G25" s="21">
        <v>34</v>
      </c>
      <c r="H25" s="21">
        <v>6</v>
      </c>
      <c r="I25" s="21">
        <v>60</v>
      </c>
      <c r="J25" s="21">
        <v>3</v>
      </c>
      <c r="K25" s="21">
        <v>10</v>
      </c>
      <c r="L25" s="21">
        <v>14</v>
      </c>
      <c r="M25" s="21">
        <v>51</v>
      </c>
      <c r="N25" s="21">
        <v>36</v>
      </c>
      <c r="O25" s="21">
        <v>50</v>
      </c>
      <c r="P25" s="21">
        <v>45</v>
      </c>
      <c r="Q25" s="21">
        <v>38</v>
      </c>
      <c r="R25" s="21">
        <v>26</v>
      </c>
      <c r="S25" s="21">
        <v>45</v>
      </c>
      <c r="T25" s="21">
        <v>44</v>
      </c>
      <c r="U25" s="21">
        <v>49</v>
      </c>
      <c r="V25" s="21">
        <v>37</v>
      </c>
      <c r="W25" s="21">
        <v>18</v>
      </c>
      <c r="X25" s="21">
        <v>19</v>
      </c>
      <c r="Y25" s="21">
        <v>51</v>
      </c>
      <c r="Z25" s="21">
        <v>32</v>
      </c>
      <c r="AA25" s="21">
        <v>28</v>
      </c>
      <c r="AB25" s="21">
        <v>52</v>
      </c>
      <c r="AC25" s="21">
        <v>62</v>
      </c>
      <c r="AD25" s="21">
        <v>28</v>
      </c>
      <c r="AE25" s="21">
        <v>13</v>
      </c>
      <c r="AF25" s="21">
        <v>11</v>
      </c>
      <c r="AG25" s="21">
        <v>26</v>
      </c>
      <c r="AH25" s="21">
        <v>17</v>
      </c>
      <c r="AI25" s="21">
        <v>21</v>
      </c>
      <c r="AJ25" s="21">
        <v>13</v>
      </c>
      <c r="AK25" s="21">
        <v>17</v>
      </c>
      <c r="AL25" s="21">
        <v>55</v>
      </c>
      <c r="AM25" s="21">
        <v>16</v>
      </c>
      <c r="AN25" s="21">
        <v>28</v>
      </c>
      <c r="AO25" s="21">
        <v>62</v>
      </c>
      <c r="AP25" s="21">
        <v>1</v>
      </c>
      <c r="AQ25" s="21">
        <v>28</v>
      </c>
      <c r="AR25" s="21">
        <v>54</v>
      </c>
      <c r="AS25" s="21">
        <v>25</v>
      </c>
      <c r="AT25" s="21">
        <v>56</v>
      </c>
      <c r="AU25" s="21">
        <v>24</v>
      </c>
      <c r="AV25" s="21">
        <v>35</v>
      </c>
      <c r="AW25" s="21">
        <v>41</v>
      </c>
      <c r="AX25" s="21">
        <v>22</v>
      </c>
      <c r="AY25" s="21">
        <v>2</v>
      </c>
    </row>
    <row r="26" spans="1:51" x14ac:dyDescent="0.25">
      <c r="A26" s="13">
        <v>22</v>
      </c>
      <c r="B26" s="21">
        <v>36</v>
      </c>
      <c r="C26" s="21">
        <v>14</v>
      </c>
      <c r="D26" s="21">
        <v>32</v>
      </c>
      <c r="E26" s="21">
        <v>62</v>
      </c>
      <c r="F26" s="21">
        <v>4</v>
      </c>
      <c r="G26" s="21">
        <v>1</v>
      </c>
      <c r="H26" s="21">
        <v>7</v>
      </c>
      <c r="I26" s="21">
        <v>15</v>
      </c>
      <c r="J26" s="21">
        <v>15</v>
      </c>
      <c r="K26" s="21">
        <v>6</v>
      </c>
      <c r="L26" s="21">
        <v>15</v>
      </c>
      <c r="M26" s="21">
        <v>39</v>
      </c>
      <c r="N26" s="21">
        <v>19</v>
      </c>
      <c r="O26" s="21">
        <v>62</v>
      </c>
      <c r="P26" s="21">
        <v>33</v>
      </c>
      <c r="Q26" s="21">
        <v>53</v>
      </c>
      <c r="R26" s="21">
        <v>41</v>
      </c>
      <c r="S26" s="21">
        <v>23</v>
      </c>
      <c r="T26" s="21">
        <v>15</v>
      </c>
      <c r="U26" s="21">
        <v>10</v>
      </c>
      <c r="V26" s="21">
        <v>53</v>
      </c>
      <c r="W26" s="21">
        <v>34</v>
      </c>
      <c r="X26" s="21">
        <v>53</v>
      </c>
      <c r="Y26" s="21">
        <v>18</v>
      </c>
      <c r="Z26" s="21">
        <v>14</v>
      </c>
      <c r="AA26" s="21">
        <v>11</v>
      </c>
      <c r="AB26" s="21">
        <v>12</v>
      </c>
      <c r="AC26" s="21">
        <v>63</v>
      </c>
      <c r="AD26" s="21">
        <v>46</v>
      </c>
      <c r="AE26" s="21">
        <v>29</v>
      </c>
      <c r="AF26" s="21">
        <v>55</v>
      </c>
      <c r="AG26" s="21">
        <v>20</v>
      </c>
      <c r="AH26" s="21">
        <v>27</v>
      </c>
      <c r="AI26" s="21">
        <v>3</v>
      </c>
      <c r="AJ26" s="21">
        <v>60</v>
      </c>
      <c r="AK26" s="21">
        <v>62</v>
      </c>
      <c r="AL26" s="21">
        <v>15</v>
      </c>
      <c r="AM26" s="21">
        <v>4</v>
      </c>
      <c r="AN26" s="21">
        <v>47</v>
      </c>
      <c r="AO26" s="21">
        <v>42</v>
      </c>
      <c r="AP26" s="21">
        <v>29</v>
      </c>
      <c r="AQ26" s="21">
        <v>36</v>
      </c>
      <c r="AR26" s="21">
        <v>55</v>
      </c>
      <c r="AS26" s="21">
        <v>14</v>
      </c>
      <c r="AT26" s="21">
        <v>47</v>
      </c>
      <c r="AU26" s="21">
        <v>13</v>
      </c>
      <c r="AV26" s="21">
        <v>48</v>
      </c>
      <c r="AW26" s="21">
        <v>57</v>
      </c>
      <c r="AX26" s="21">
        <v>54</v>
      </c>
      <c r="AY26" s="21">
        <v>18</v>
      </c>
    </row>
    <row r="27" spans="1:51" x14ac:dyDescent="0.25">
      <c r="A27" s="13">
        <v>23</v>
      </c>
      <c r="B27" s="21">
        <v>35</v>
      </c>
      <c r="C27" s="21">
        <v>6</v>
      </c>
      <c r="D27" s="21">
        <v>22</v>
      </c>
      <c r="E27" s="21">
        <v>45</v>
      </c>
      <c r="F27" s="21">
        <v>30</v>
      </c>
      <c r="G27" s="21">
        <v>12</v>
      </c>
      <c r="H27" s="21">
        <v>32</v>
      </c>
      <c r="I27" s="21">
        <v>17</v>
      </c>
      <c r="J27" s="21">
        <v>25</v>
      </c>
      <c r="K27" s="21">
        <v>59</v>
      </c>
      <c r="L27" s="21">
        <v>20</v>
      </c>
      <c r="M27" s="21">
        <v>56</v>
      </c>
      <c r="N27" s="21">
        <v>32</v>
      </c>
      <c r="O27" s="21">
        <v>57</v>
      </c>
      <c r="P27" s="21">
        <v>1</v>
      </c>
      <c r="Q27" s="21">
        <v>12</v>
      </c>
      <c r="R27" s="21">
        <v>16</v>
      </c>
      <c r="S27" s="21">
        <v>43</v>
      </c>
      <c r="T27" s="21">
        <v>22</v>
      </c>
      <c r="U27" s="21">
        <v>52</v>
      </c>
      <c r="V27" s="21">
        <v>58</v>
      </c>
      <c r="W27" s="21">
        <v>31</v>
      </c>
      <c r="X27" s="21">
        <v>1</v>
      </c>
      <c r="Y27" s="21">
        <v>31</v>
      </c>
      <c r="Z27" s="21">
        <v>60</v>
      </c>
      <c r="AA27" s="21">
        <v>49</v>
      </c>
      <c r="AB27" s="21">
        <v>63</v>
      </c>
      <c r="AC27" s="21">
        <v>14</v>
      </c>
      <c r="AD27" s="21">
        <v>5</v>
      </c>
      <c r="AE27" s="21">
        <v>12</v>
      </c>
      <c r="AF27" s="21">
        <v>53</v>
      </c>
      <c r="AG27" s="21">
        <v>8</v>
      </c>
      <c r="AH27" s="21">
        <v>23</v>
      </c>
      <c r="AI27" s="21">
        <v>40</v>
      </c>
      <c r="AJ27" s="21">
        <v>10</v>
      </c>
      <c r="AK27" s="21">
        <v>60</v>
      </c>
      <c r="AL27" s="21">
        <v>12</v>
      </c>
      <c r="AM27" s="21">
        <v>36</v>
      </c>
      <c r="AN27" s="21">
        <v>31</v>
      </c>
      <c r="AO27" s="21">
        <v>25</v>
      </c>
      <c r="AP27" s="21">
        <v>42</v>
      </c>
      <c r="AQ27" s="21">
        <v>26</v>
      </c>
      <c r="AR27" s="21">
        <v>46</v>
      </c>
      <c r="AS27" s="21">
        <v>41</v>
      </c>
      <c r="AT27" s="21">
        <v>18</v>
      </c>
      <c r="AU27" s="21">
        <v>57</v>
      </c>
      <c r="AV27" s="21">
        <v>8</v>
      </c>
      <c r="AW27" s="21">
        <v>5</v>
      </c>
      <c r="AX27" s="21">
        <v>1</v>
      </c>
      <c r="AY27" s="21">
        <v>12</v>
      </c>
    </row>
    <row r="28" spans="1:51" x14ac:dyDescent="0.25">
      <c r="A28" s="13">
        <v>24</v>
      </c>
      <c r="B28" s="21">
        <v>50</v>
      </c>
      <c r="C28" s="21">
        <v>42</v>
      </c>
      <c r="D28" s="21">
        <v>53</v>
      </c>
      <c r="E28" s="21">
        <v>50</v>
      </c>
      <c r="F28" s="21">
        <v>26</v>
      </c>
      <c r="G28" s="21">
        <v>62</v>
      </c>
      <c r="H28" s="21">
        <v>38</v>
      </c>
      <c r="I28" s="21">
        <v>46</v>
      </c>
      <c r="J28" s="21">
        <v>43</v>
      </c>
      <c r="K28" s="21">
        <v>25</v>
      </c>
      <c r="L28" s="21">
        <v>2</v>
      </c>
      <c r="M28" s="21">
        <v>25</v>
      </c>
      <c r="N28" s="21">
        <v>31</v>
      </c>
      <c r="O28" s="21">
        <v>38</v>
      </c>
      <c r="P28" s="21">
        <v>62</v>
      </c>
      <c r="Q28" s="21">
        <v>43</v>
      </c>
      <c r="R28" s="21">
        <v>8</v>
      </c>
      <c r="S28" s="21">
        <v>19</v>
      </c>
      <c r="T28" s="21">
        <v>18</v>
      </c>
      <c r="U28" s="21">
        <v>7</v>
      </c>
      <c r="V28" s="21">
        <v>43</v>
      </c>
      <c r="W28" s="21">
        <v>7</v>
      </c>
      <c r="X28" s="21">
        <v>60</v>
      </c>
      <c r="Y28" s="21">
        <v>42</v>
      </c>
      <c r="Z28" s="21">
        <v>57</v>
      </c>
      <c r="AA28" s="21">
        <v>30</v>
      </c>
      <c r="AB28" s="21">
        <v>57</v>
      </c>
      <c r="AC28" s="21">
        <v>42</v>
      </c>
      <c r="AD28" s="21">
        <v>26</v>
      </c>
      <c r="AE28" s="21">
        <v>41</v>
      </c>
      <c r="AF28" s="21">
        <v>62</v>
      </c>
      <c r="AG28" s="21">
        <v>54</v>
      </c>
      <c r="AH28" s="21">
        <v>4</v>
      </c>
      <c r="AI28" s="21">
        <v>47</v>
      </c>
      <c r="AJ28" s="21">
        <v>17</v>
      </c>
      <c r="AK28" s="21">
        <v>28</v>
      </c>
      <c r="AL28" s="21">
        <v>50</v>
      </c>
      <c r="AM28" s="21">
        <v>55</v>
      </c>
      <c r="AN28" s="21">
        <v>4</v>
      </c>
      <c r="AO28" s="21">
        <v>59</v>
      </c>
      <c r="AP28" s="21">
        <v>43</v>
      </c>
      <c r="AQ28" s="21">
        <v>35</v>
      </c>
      <c r="AR28" s="21">
        <v>42</v>
      </c>
      <c r="AS28" s="21">
        <v>39</v>
      </c>
      <c r="AT28" s="21">
        <v>33</v>
      </c>
      <c r="AU28" s="21">
        <v>41</v>
      </c>
      <c r="AV28" s="21">
        <v>15</v>
      </c>
      <c r="AW28" s="21">
        <v>60</v>
      </c>
      <c r="AX28" s="21">
        <v>50</v>
      </c>
      <c r="AY28" s="21">
        <v>40</v>
      </c>
    </row>
    <row r="29" spans="1:51" s="14" customFormat="1" ht="15.75" thickBot="1" x14ac:dyDescent="0.3">
      <c r="A29" s="15">
        <v>25</v>
      </c>
      <c r="B29" s="22">
        <v>22</v>
      </c>
      <c r="C29" s="22">
        <v>30</v>
      </c>
      <c r="D29" s="22">
        <v>52</v>
      </c>
      <c r="E29" s="22">
        <v>57</v>
      </c>
      <c r="F29" s="22">
        <v>48</v>
      </c>
      <c r="G29" s="22">
        <v>50</v>
      </c>
      <c r="H29" s="22">
        <v>34</v>
      </c>
      <c r="I29" s="22">
        <v>50</v>
      </c>
      <c r="J29" s="22">
        <v>46</v>
      </c>
      <c r="K29" s="22">
        <v>34</v>
      </c>
      <c r="L29" s="22">
        <v>21</v>
      </c>
      <c r="M29" s="22">
        <v>7</v>
      </c>
      <c r="N29" s="22">
        <v>13</v>
      </c>
      <c r="O29" s="22">
        <v>52</v>
      </c>
      <c r="P29" s="22">
        <v>8</v>
      </c>
      <c r="Q29" s="22">
        <v>19</v>
      </c>
      <c r="R29" s="22">
        <v>59</v>
      </c>
      <c r="S29" s="22">
        <v>58</v>
      </c>
      <c r="T29" s="22">
        <v>6</v>
      </c>
      <c r="U29" s="22">
        <v>62</v>
      </c>
      <c r="V29" s="22">
        <v>33</v>
      </c>
      <c r="W29" s="22">
        <v>48</v>
      </c>
      <c r="X29" s="22">
        <v>10</v>
      </c>
      <c r="Y29" s="22">
        <v>10</v>
      </c>
      <c r="Z29" s="22">
        <v>53</v>
      </c>
      <c r="AA29" s="22">
        <v>32</v>
      </c>
      <c r="AB29" s="22">
        <v>6</v>
      </c>
      <c r="AC29" s="22">
        <v>50</v>
      </c>
      <c r="AD29" s="22">
        <v>1</v>
      </c>
      <c r="AE29" s="22">
        <v>4</v>
      </c>
      <c r="AF29" s="22">
        <v>24</v>
      </c>
      <c r="AG29" s="22">
        <v>32</v>
      </c>
      <c r="AH29" s="22">
        <v>2</v>
      </c>
      <c r="AI29" s="22">
        <v>22</v>
      </c>
      <c r="AJ29" s="22">
        <v>59</v>
      </c>
      <c r="AK29" s="22">
        <v>55</v>
      </c>
      <c r="AL29" s="22">
        <v>2</v>
      </c>
      <c r="AM29" s="22">
        <v>15</v>
      </c>
      <c r="AN29" s="22">
        <v>58</v>
      </c>
      <c r="AO29" s="22">
        <v>56</v>
      </c>
      <c r="AP29" s="22">
        <v>38</v>
      </c>
      <c r="AQ29" s="22">
        <v>12</v>
      </c>
      <c r="AR29" s="22">
        <v>41</v>
      </c>
      <c r="AS29" s="22">
        <v>31</v>
      </c>
      <c r="AT29" s="22">
        <v>20</v>
      </c>
      <c r="AU29" s="22">
        <v>43</v>
      </c>
      <c r="AV29" s="22">
        <v>46</v>
      </c>
      <c r="AW29" s="22">
        <v>3</v>
      </c>
      <c r="AX29" s="22">
        <v>12</v>
      </c>
      <c r="AY29" s="22">
        <v>28</v>
      </c>
    </row>
    <row r="30" spans="1:51" x14ac:dyDescent="0.25">
      <c r="A30" s="13">
        <v>1</v>
      </c>
      <c r="B30">
        <f ca="1">IF(LOWER(INDEX(INDIRECT($P$71&amp;"_Played"),B5))="x",1,0)</f>
        <v>0</v>
      </c>
      <c r="C30">
        <f t="shared" ref="C30:AY30" ca="1" si="1">IF(LOWER(INDEX(INDIRECT($P$71&amp;"_Played"),C5))="x",1,0)</f>
        <v>0</v>
      </c>
      <c r="D30">
        <f t="shared" ca="1" si="1"/>
        <v>0</v>
      </c>
      <c r="E30">
        <f t="shared" ca="1" si="1"/>
        <v>0</v>
      </c>
      <c r="F30">
        <f t="shared" ca="1" si="1"/>
        <v>0</v>
      </c>
      <c r="G30">
        <f t="shared" ca="1" si="1"/>
        <v>0</v>
      </c>
      <c r="H30">
        <f t="shared" ca="1" si="1"/>
        <v>0</v>
      </c>
      <c r="I30">
        <f t="shared" ca="1" si="1"/>
        <v>0</v>
      </c>
      <c r="J30">
        <f t="shared" ca="1" si="1"/>
        <v>0</v>
      </c>
      <c r="K30">
        <f t="shared" ca="1" si="1"/>
        <v>0</v>
      </c>
      <c r="L30">
        <f t="shared" ca="1" si="1"/>
        <v>0</v>
      </c>
      <c r="M30">
        <f t="shared" ca="1" si="1"/>
        <v>0</v>
      </c>
      <c r="N30">
        <f t="shared" ca="1" si="1"/>
        <v>0</v>
      </c>
      <c r="O30">
        <f t="shared" ca="1" si="1"/>
        <v>0</v>
      </c>
      <c r="P30">
        <f t="shared" ca="1" si="1"/>
        <v>0</v>
      </c>
      <c r="Q30">
        <f t="shared" ca="1" si="1"/>
        <v>0</v>
      </c>
      <c r="R30">
        <f t="shared" ca="1" si="1"/>
        <v>0</v>
      </c>
      <c r="S30">
        <f t="shared" ca="1" si="1"/>
        <v>0</v>
      </c>
      <c r="T30">
        <f t="shared" ca="1" si="1"/>
        <v>0</v>
      </c>
      <c r="U30">
        <f t="shared" ca="1" si="1"/>
        <v>0</v>
      </c>
      <c r="V30">
        <f t="shared" ca="1" si="1"/>
        <v>0</v>
      </c>
      <c r="W30">
        <f t="shared" ca="1" si="1"/>
        <v>0</v>
      </c>
      <c r="X30">
        <f t="shared" ca="1" si="1"/>
        <v>0</v>
      </c>
      <c r="Y30">
        <f t="shared" ca="1" si="1"/>
        <v>0</v>
      </c>
      <c r="Z30">
        <f t="shared" ca="1" si="1"/>
        <v>0</v>
      </c>
      <c r="AA30">
        <f t="shared" ca="1" si="1"/>
        <v>0</v>
      </c>
      <c r="AB30">
        <f t="shared" ca="1" si="1"/>
        <v>0</v>
      </c>
      <c r="AC30">
        <f t="shared" ca="1" si="1"/>
        <v>0</v>
      </c>
      <c r="AD30">
        <f t="shared" ca="1" si="1"/>
        <v>0</v>
      </c>
      <c r="AE30">
        <f t="shared" ca="1" si="1"/>
        <v>0</v>
      </c>
      <c r="AF30">
        <f t="shared" ca="1" si="1"/>
        <v>0</v>
      </c>
      <c r="AG30">
        <f t="shared" ca="1" si="1"/>
        <v>0</v>
      </c>
      <c r="AH30">
        <f t="shared" ca="1" si="1"/>
        <v>0</v>
      </c>
      <c r="AI30">
        <f t="shared" ca="1" si="1"/>
        <v>0</v>
      </c>
      <c r="AJ30">
        <f t="shared" ca="1" si="1"/>
        <v>0</v>
      </c>
      <c r="AK30">
        <f t="shared" ca="1" si="1"/>
        <v>0</v>
      </c>
      <c r="AL30">
        <f t="shared" ca="1" si="1"/>
        <v>0</v>
      </c>
      <c r="AM30">
        <f t="shared" ca="1" si="1"/>
        <v>0</v>
      </c>
      <c r="AN30">
        <f t="shared" ca="1" si="1"/>
        <v>0</v>
      </c>
      <c r="AO30">
        <f t="shared" ca="1" si="1"/>
        <v>0</v>
      </c>
      <c r="AP30">
        <f t="shared" ca="1" si="1"/>
        <v>0</v>
      </c>
      <c r="AQ30">
        <f t="shared" ca="1" si="1"/>
        <v>0</v>
      </c>
      <c r="AR30">
        <f t="shared" ca="1" si="1"/>
        <v>0</v>
      </c>
      <c r="AS30">
        <f t="shared" ca="1" si="1"/>
        <v>0</v>
      </c>
      <c r="AT30">
        <f t="shared" ca="1" si="1"/>
        <v>0</v>
      </c>
      <c r="AU30">
        <f t="shared" ca="1" si="1"/>
        <v>0</v>
      </c>
      <c r="AV30">
        <f t="shared" ca="1" si="1"/>
        <v>0</v>
      </c>
      <c r="AW30">
        <f t="shared" ca="1" si="1"/>
        <v>0</v>
      </c>
      <c r="AX30">
        <f t="shared" ca="1" si="1"/>
        <v>0</v>
      </c>
      <c r="AY30">
        <f t="shared" ca="1" si="1"/>
        <v>0</v>
      </c>
    </row>
    <row r="31" spans="1:51" x14ac:dyDescent="0.25">
      <c r="A31" s="13">
        <v>2</v>
      </c>
      <c r="B31">
        <f t="shared" ref="B31:AY31" ca="1" si="2">IF(LOWER(INDEX(INDIRECT($P$71&amp;"_Played"),B6))="x",1,0)</f>
        <v>0</v>
      </c>
      <c r="C31">
        <f t="shared" ca="1" si="2"/>
        <v>0</v>
      </c>
      <c r="D31">
        <f t="shared" ca="1" si="2"/>
        <v>0</v>
      </c>
      <c r="E31">
        <f t="shared" ca="1" si="2"/>
        <v>0</v>
      </c>
      <c r="F31">
        <f t="shared" ca="1" si="2"/>
        <v>0</v>
      </c>
      <c r="G31">
        <f t="shared" ca="1" si="2"/>
        <v>0</v>
      </c>
      <c r="H31">
        <f t="shared" ca="1" si="2"/>
        <v>0</v>
      </c>
      <c r="I31">
        <f t="shared" ca="1" si="2"/>
        <v>0</v>
      </c>
      <c r="J31">
        <f t="shared" ca="1" si="2"/>
        <v>0</v>
      </c>
      <c r="K31">
        <f t="shared" ca="1" si="2"/>
        <v>0</v>
      </c>
      <c r="L31">
        <f t="shared" ca="1" si="2"/>
        <v>0</v>
      </c>
      <c r="M31">
        <f t="shared" ca="1" si="2"/>
        <v>0</v>
      </c>
      <c r="N31">
        <f t="shared" ca="1" si="2"/>
        <v>0</v>
      </c>
      <c r="O31">
        <f t="shared" ca="1" si="2"/>
        <v>0</v>
      </c>
      <c r="P31">
        <f t="shared" ca="1" si="2"/>
        <v>0</v>
      </c>
      <c r="Q31">
        <f t="shared" ca="1" si="2"/>
        <v>0</v>
      </c>
      <c r="R31">
        <f t="shared" ca="1" si="2"/>
        <v>0</v>
      </c>
      <c r="S31">
        <f t="shared" ca="1" si="2"/>
        <v>0</v>
      </c>
      <c r="T31">
        <f t="shared" ca="1" si="2"/>
        <v>0</v>
      </c>
      <c r="U31">
        <f t="shared" ca="1" si="2"/>
        <v>0</v>
      </c>
      <c r="V31">
        <f t="shared" ca="1" si="2"/>
        <v>0</v>
      </c>
      <c r="W31">
        <f t="shared" ca="1" si="2"/>
        <v>0</v>
      </c>
      <c r="X31">
        <f t="shared" ca="1" si="2"/>
        <v>0</v>
      </c>
      <c r="Y31">
        <f t="shared" ca="1" si="2"/>
        <v>0</v>
      </c>
      <c r="Z31">
        <f t="shared" ca="1" si="2"/>
        <v>0</v>
      </c>
      <c r="AA31">
        <f t="shared" ca="1" si="2"/>
        <v>0</v>
      </c>
      <c r="AB31">
        <f t="shared" ca="1" si="2"/>
        <v>0</v>
      </c>
      <c r="AC31">
        <f t="shared" ca="1" si="2"/>
        <v>0</v>
      </c>
      <c r="AD31">
        <f t="shared" ca="1" si="2"/>
        <v>0</v>
      </c>
      <c r="AE31">
        <f t="shared" ca="1" si="2"/>
        <v>0</v>
      </c>
      <c r="AF31">
        <f t="shared" ca="1" si="2"/>
        <v>0</v>
      </c>
      <c r="AG31">
        <f t="shared" ca="1" si="2"/>
        <v>0</v>
      </c>
      <c r="AH31">
        <f t="shared" ca="1" si="2"/>
        <v>0</v>
      </c>
      <c r="AI31">
        <f t="shared" ca="1" si="2"/>
        <v>0</v>
      </c>
      <c r="AJ31">
        <f t="shared" ca="1" si="2"/>
        <v>0</v>
      </c>
      <c r="AK31">
        <f t="shared" ca="1" si="2"/>
        <v>0</v>
      </c>
      <c r="AL31">
        <f t="shared" ca="1" si="2"/>
        <v>0</v>
      </c>
      <c r="AM31">
        <f t="shared" ca="1" si="2"/>
        <v>0</v>
      </c>
      <c r="AN31">
        <f t="shared" ca="1" si="2"/>
        <v>0</v>
      </c>
      <c r="AO31">
        <f t="shared" ca="1" si="2"/>
        <v>0</v>
      </c>
      <c r="AP31">
        <f t="shared" ca="1" si="2"/>
        <v>0</v>
      </c>
      <c r="AQ31">
        <f t="shared" ca="1" si="2"/>
        <v>0</v>
      </c>
      <c r="AR31">
        <f t="shared" ca="1" si="2"/>
        <v>0</v>
      </c>
      <c r="AS31">
        <f t="shared" ca="1" si="2"/>
        <v>0</v>
      </c>
      <c r="AT31">
        <f t="shared" ca="1" si="2"/>
        <v>0</v>
      </c>
      <c r="AU31">
        <f t="shared" ca="1" si="2"/>
        <v>0</v>
      </c>
      <c r="AV31">
        <f t="shared" ca="1" si="2"/>
        <v>0</v>
      </c>
      <c r="AW31">
        <f t="shared" ca="1" si="2"/>
        <v>0</v>
      </c>
      <c r="AX31">
        <f t="shared" ca="1" si="2"/>
        <v>0</v>
      </c>
      <c r="AY31">
        <f t="shared" ca="1" si="2"/>
        <v>0</v>
      </c>
    </row>
    <row r="32" spans="1:51" x14ac:dyDescent="0.25">
      <c r="A32" s="13">
        <v>3</v>
      </c>
      <c r="B32">
        <f t="shared" ref="B32:AY32" ca="1" si="3">IF(LOWER(INDEX(INDIRECT($P$71&amp;"_Played"),B7))="x",1,0)</f>
        <v>0</v>
      </c>
      <c r="C32">
        <f t="shared" ca="1" si="3"/>
        <v>0</v>
      </c>
      <c r="D32">
        <f t="shared" ca="1" si="3"/>
        <v>0</v>
      </c>
      <c r="E32">
        <f t="shared" ca="1" si="3"/>
        <v>0</v>
      </c>
      <c r="F32">
        <f t="shared" ca="1" si="3"/>
        <v>0</v>
      </c>
      <c r="G32">
        <f t="shared" ca="1" si="3"/>
        <v>0</v>
      </c>
      <c r="H32">
        <f t="shared" ca="1" si="3"/>
        <v>0</v>
      </c>
      <c r="I32">
        <f t="shared" ca="1" si="3"/>
        <v>0</v>
      </c>
      <c r="J32">
        <f t="shared" ca="1" si="3"/>
        <v>0</v>
      </c>
      <c r="K32">
        <f t="shared" ca="1" si="3"/>
        <v>0</v>
      </c>
      <c r="L32">
        <f t="shared" ca="1" si="3"/>
        <v>0</v>
      </c>
      <c r="M32">
        <f t="shared" ca="1" si="3"/>
        <v>0</v>
      </c>
      <c r="N32">
        <f t="shared" ca="1" si="3"/>
        <v>0</v>
      </c>
      <c r="O32">
        <f t="shared" ca="1" si="3"/>
        <v>0</v>
      </c>
      <c r="P32">
        <f t="shared" ca="1" si="3"/>
        <v>0</v>
      </c>
      <c r="Q32">
        <f t="shared" ca="1" si="3"/>
        <v>0</v>
      </c>
      <c r="R32">
        <f t="shared" ca="1" si="3"/>
        <v>0</v>
      </c>
      <c r="S32">
        <f t="shared" ca="1" si="3"/>
        <v>0</v>
      </c>
      <c r="T32">
        <f t="shared" ca="1" si="3"/>
        <v>0</v>
      </c>
      <c r="U32">
        <f t="shared" ca="1" si="3"/>
        <v>0</v>
      </c>
      <c r="V32">
        <f t="shared" ca="1" si="3"/>
        <v>0</v>
      </c>
      <c r="W32">
        <f t="shared" ca="1" si="3"/>
        <v>0</v>
      </c>
      <c r="X32">
        <f t="shared" ca="1" si="3"/>
        <v>0</v>
      </c>
      <c r="Y32">
        <f t="shared" ca="1" si="3"/>
        <v>0</v>
      </c>
      <c r="Z32">
        <f t="shared" ca="1" si="3"/>
        <v>0</v>
      </c>
      <c r="AA32">
        <f t="shared" ca="1" si="3"/>
        <v>0</v>
      </c>
      <c r="AB32">
        <f t="shared" ca="1" si="3"/>
        <v>0</v>
      </c>
      <c r="AC32">
        <f t="shared" ca="1" si="3"/>
        <v>0</v>
      </c>
      <c r="AD32">
        <f t="shared" ca="1" si="3"/>
        <v>0</v>
      </c>
      <c r="AE32">
        <f t="shared" ca="1" si="3"/>
        <v>0</v>
      </c>
      <c r="AF32">
        <f t="shared" ca="1" si="3"/>
        <v>0</v>
      </c>
      <c r="AG32">
        <f t="shared" ca="1" si="3"/>
        <v>0</v>
      </c>
      <c r="AH32">
        <f t="shared" ca="1" si="3"/>
        <v>0</v>
      </c>
      <c r="AI32">
        <f t="shared" ca="1" si="3"/>
        <v>0</v>
      </c>
      <c r="AJ32">
        <f t="shared" ca="1" si="3"/>
        <v>0</v>
      </c>
      <c r="AK32">
        <f t="shared" ca="1" si="3"/>
        <v>0</v>
      </c>
      <c r="AL32">
        <f t="shared" ca="1" si="3"/>
        <v>0</v>
      </c>
      <c r="AM32">
        <f t="shared" ca="1" si="3"/>
        <v>0</v>
      </c>
      <c r="AN32">
        <f t="shared" ca="1" si="3"/>
        <v>0</v>
      </c>
      <c r="AO32">
        <f t="shared" ca="1" si="3"/>
        <v>0</v>
      </c>
      <c r="AP32">
        <f t="shared" ca="1" si="3"/>
        <v>0</v>
      </c>
      <c r="AQ32">
        <f t="shared" ca="1" si="3"/>
        <v>0</v>
      </c>
      <c r="AR32">
        <f t="shared" ca="1" si="3"/>
        <v>0</v>
      </c>
      <c r="AS32">
        <f t="shared" ca="1" si="3"/>
        <v>0</v>
      </c>
      <c r="AT32">
        <f t="shared" ca="1" si="3"/>
        <v>0</v>
      </c>
      <c r="AU32">
        <f t="shared" ca="1" si="3"/>
        <v>0</v>
      </c>
      <c r="AV32">
        <f t="shared" ca="1" si="3"/>
        <v>0</v>
      </c>
      <c r="AW32">
        <f t="shared" ca="1" si="3"/>
        <v>0</v>
      </c>
      <c r="AX32">
        <f t="shared" ca="1" si="3"/>
        <v>0</v>
      </c>
      <c r="AY32">
        <f t="shared" ca="1" si="3"/>
        <v>0</v>
      </c>
    </row>
    <row r="33" spans="1:51" x14ac:dyDescent="0.25">
      <c r="A33" s="13">
        <v>4</v>
      </c>
      <c r="B33">
        <f t="shared" ref="B33:AY33" ca="1" si="4">IF(LOWER(INDEX(INDIRECT($P$71&amp;"_Played"),B8))="x",1,0)</f>
        <v>0</v>
      </c>
      <c r="C33">
        <f t="shared" ca="1" si="4"/>
        <v>0</v>
      </c>
      <c r="D33">
        <f t="shared" ca="1" si="4"/>
        <v>0</v>
      </c>
      <c r="E33">
        <f t="shared" ca="1" si="4"/>
        <v>0</v>
      </c>
      <c r="F33">
        <f t="shared" ca="1" si="4"/>
        <v>0</v>
      </c>
      <c r="G33">
        <f t="shared" ca="1" si="4"/>
        <v>0</v>
      </c>
      <c r="H33">
        <f t="shared" ca="1" si="4"/>
        <v>0</v>
      </c>
      <c r="I33">
        <f t="shared" ca="1" si="4"/>
        <v>0</v>
      </c>
      <c r="J33">
        <f t="shared" ca="1" si="4"/>
        <v>0</v>
      </c>
      <c r="K33">
        <f t="shared" ca="1" si="4"/>
        <v>0</v>
      </c>
      <c r="L33">
        <f t="shared" ca="1" si="4"/>
        <v>0</v>
      </c>
      <c r="M33">
        <f t="shared" ca="1" si="4"/>
        <v>0</v>
      </c>
      <c r="N33">
        <f t="shared" ca="1" si="4"/>
        <v>0</v>
      </c>
      <c r="O33">
        <f t="shared" ca="1" si="4"/>
        <v>0</v>
      </c>
      <c r="P33">
        <f t="shared" ca="1" si="4"/>
        <v>0</v>
      </c>
      <c r="Q33">
        <f t="shared" ca="1" si="4"/>
        <v>0</v>
      </c>
      <c r="R33">
        <f t="shared" ca="1" si="4"/>
        <v>0</v>
      </c>
      <c r="S33">
        <f t="shared" ca="1" si="4"/>
        <v>0</v>
      </c>
      <c r="T33">
        <f t="shared" ca="1" si="4"/>
        <v>0</v>
      </c>
      <c r="U33">
        <f t="shared" ca="1" si="4"/>
        <v>0</v>
      </c>
      <c r="V33">
        <f t="shared" ca="1" si="4"/>
        <v>0</v>
      </c>
      <c r="W33">
        <f t="shared" ca="1" si="4"/>
        <v>0</v>
      </c>
      <c r="X33">
        <f t="shared" ca="1" si="4"/>
        <v>0</v>
      </c>
      <c r="Y33">
        <f t="shared" ca="1" si="4"/>
        <v>0</v>
      </c>
      <c r="Z33">
        <f t="shared" ca="1" si="4"/>
        <v>0</v>
      </c>
      <c r="AA33">
        <f t="shared" ca="1" si="4"/>
        <v>0</v>
      </c>
      <c r="AB33">
        <f t="shared" ca="1" si="4"/>
        <v>0</v>
      </c>
      <c r="AC33">
        <f t="shared" ca="1" si="4"/>
        <v>0</v>
      </c>
      <c r="AD33">
        <f t="shared" ca="1" si="4"/>
        <v>0</v>
      </c>
      <c r="AE33">
        <f t="shared" ca="1" si="4"/>
        <v>0</v>
      </c>
      <c r="AF33">
        <f t="shared" ca="1" si="4"/>
        <v>0</v>
      </c>
      <c r="AG33">
        <f t="shared" ca="1" si="4"/>
        <v>0</v>
      </c>
      <c r="AH33">
        <f t="shared" ca="1" si="4"/>
        <v>0</v>
      </c>
      <c r="AI33">
        <f t="shared" ca="1" si="4"/>
        <v>0</v>
      </c>
      <c r="AJ33">
        <f t="shared" ca="1" si="4"/>
        <v>0</v>
      </c>
      <c r="AK33">
        <f t="shared" ca="1" si="4"/>
        <v>0</v>
      </c>
      <c r="AL33">
        <f t="shared" ca="1" si="4"/>
        <v>0</v>
      </c>
      <c r="AM33">
        <f t="shared" ca="1" si="4"/>
        <v>0</v>
      </c>
      <c r="AN33">
        <f t="shared" ca="1" si="4"/>
        <v>0</v>
      </c>
      <c r="AO33">
        <f t="shared" ca="1" si="4"/>
        <v>0</v>
      </c>
      <c r="AP33">
        <f t="shared" ca="1" si="4"/>
        <v>0</v>
      </c>
      <c r="AQ33">
        <f t="shared" ca="1" si="4"/>
        <v>0</v>
      </c>
      <c r="AR33">
        <f t="shared" ca="1" si="4"/>
        <v>0</v>
      </c>
      <c r="AS33">
        <f t="shared" ca="1" si="4"/>
        <v>0</v>
      </c>
      <c r="AT33">
        <f t="shared" ca="1" si="4"/>
        <v>0</v>
      </c>
      <c r="AU33">
        <f t="shared" ca="1" si="4"/>
        <v>0</v>
      </c>
      <c r="AV33">
        <f t="shared" ca="1" si="4"/>
        <v>0</v>
      </c>
      <c r="AW33">
        <f t="shared" ca="1" si="4"/>
        <v>0</v>
      </c>
      <c r="AX33">
        <f t="shared" ca="1" si="4"/>
        <v>0</v>
      </c>
      <c r="AY33">
        <f t="shared" ca="1" si="4"/>
        <v>0</v>
      </c>
    </row>
    <row r="34" spans="1:51" x14ac:dyDescent="0.25">
      <c r="A34" s="13">
        <v>5</v>
      </c>
      <c r="B34">
        <f t="shared" ref="B34:AY34" ca="1" si="5">IF(LOWER(INDEX(INDIRECT($P$71&amp;"_Played"),B9))="x",1,0)</f>
        <v>0</v>
      </c>
      <c r="C34">
        <f t="shared" ca="1" si="5"/>
        <v>0</v>
      </c>
      <c r="D34">
        <f t="shared" ca="1" si="5"/>
        <v>0</v>
      </c>
      <c r="E34">
        <f t="shared" ca="1" si="5"/>
        <v>0</v>
      </c>
      <c r="F34">
        <f t="shared" ca="1" si="5"/>
        <v>0</v>
      </c>
      <c r="G34">
        <f t="shared" ca="1" si="5"/>
        <v>0</v>
      </c>
      <c r="H34">
        <f t="shared" ca="1" si="5"/>
        <v>0</v>
      </c>
      <c r="I34">
        <f t="shared" ca="1" si="5"/>
        <v>0</v>
      </c>
      <c r="J34">
        <f t="shared" ca="1" si="5"/>
        <v>0</v>
      </c>
      <c r="K34">
        <f t="shared" ca="1" si="5"/>
        <v>0</v>
      </c>
      <c r="L34">
        <f t="shared" ca="1" si="5"/>
        <v>0</v>
      </c>
      <c r="M34">
        <f t="shared" ca="1" si="5"/>
        <v>0</v>
      </c>
      <c r="N34">
        <f t="shared" ca="1" si="5"/>
        <v>0</v>
      </c>
      <c r="O34">
        <f t="shared" ca="1" si="5"/>
        <v>0</v>
      </c>
      <c r="P34">
        <f t="shared" ca="1" si="5"/>
        <v>0</v>
      </c>
      <c r="Q34">
        <f t="shared" ca="1" si="5"/>
        <v>0</v>
      </c>
      <c r="R34">
        <f t="shared" ca="1" si="5"/>
        <v>0</v>
      </c>
      <c r="S34">
        <f t="shared" ca="1" si="5"/>
        <v>0</v>
      </c>
      <c r="T34">
        <f t="shared" ca="1" si="5"/>
        <v>0</v>
      </c>
      <c r="U34">
        <f t="shared" ca="1" si="5"/>
        <v>0</v>
      </c>
      <c r="V34">
        <f t="shared" ca="1" si="5"/>
        <v>0</v>
      </c>
      <c r="W34">
        <f t="shared" ca="1" si="5"/>
        <v>0</v>
      </c>
      <c r="X34">
        <f t="shared" ca="1" si="5"/>
        <v>0</v>
      </c>
      <c r="Y34">
        <f t="shared" ca="1" si="5"/>
        <v>0</v>
      </c>
      <c r="Z34">
        <f t="shared" ca="1" si="5"/>
        <v>0</v>
      </c>
      <c r="AA34">
        <f t="shared" ca="1" si="5"/>
        <v>0</v>
      </c>
      <c r="AB34">
        <f t="shared" ca="1" si="5"/>
        <v>0</v>
      </c>
      <c r="AC34">
        <f t="shared" ca="1" si="5"/>
        <v>0</v>
      </c>
      <c r="AD34">
        <f t="shared" ca="1" si="5"/>
        <v>0</v>
      </c>
      <c r="AE34">
        <f t="shared" ca="1" si="5"/>
        <v>0</v>
      </c>
      <c r="AF34">
        <f t="shared" ca="1" si="5"/>
        <v>0</v>
      </c>
      <c r="AG34">
        <f t="shared" ca="1" si="5"/>
        <v>0</v>
      </c>
      <c r="AH34">
        <f t="shared" ca="1" si="5"/>
        <v>0</v>
      </c>
      <c r="AI34">
        <f t="shared" ca="1" si="5"/>
        <v>0</v>
      </c>
      <c r="AJ34">
        <f t="shared" ca="1" si="5"/>
        <v>0</v>
      </c>
      <c r="AK34">
        <f t="shared" ca="1" si="5"/>
        <v>0</v>
      </c>
      <c r="AL34">
        <f t="shared" ca="1" si="5"/>
        <v>0</v>
      </c>
      <c r="AM34">
        <f t="shared" ca="1" si="5"/>
        <v>0</v>
      </c>
      <c r="AN34">
        <f t="shared" ca="1" si="5"/>
        <v>0</v>
      </c>
      <c r="AO34">
        <f t="shared" ca="1" si="5"/>
        <v>0</v>
      </c>
      <c r="AP34">
        <f t="shared" ca="1" si="5"/>
        <v>0</v>
      </c>
      <c r="AQ34">
        <f t="shared" ca="1" si="5"/>
        <v>0</v>
      </c>
      <c r="AR34">
        <f t="shared" ca="1" si="5"/>
        <v>0</v>
      </c>
      <c r="AS34">
        <f t="shared" ca="1" si="5"/>
        <v>0</v>
      </c>
      <c r="AT34">
        <f t="shared" ca="1" si="5"/>
        <v>0</v>
      </c>
      <c r="AU34">
        <f t="shared" ca="1" si="5"/>
        <v>0</v>
      </c>
      <c r="AV34">
        <f t="shared" ca="1" si="5"/>
        <v>0</v>
      </c>
      <c r="AW34">
        <f t="shared" ca="1" si="5"/>
        <v>0</v>
      </c>
      <c r="AX34">
        <f t="shared" ca="1" si="5"/>
        <v>0</v>
      </c>
      <c r="AY34">
        <f t="shared" ca="1" si="5"/>
        <v>0</v>
      </c>
    </row>
    <row r="35" spans="1:51" x14ac:dyDescent="0.25">
      <c r="A35" s="13">
        <v>6</v>
      </c>
      <c r="B35">
        <f t="shared" ref="B35:AY35" ca="1" si="6">IF(LOWER(INDEX(INDIRECT($P$71&amp;"_Played"),B10))="x",1,0)</f>
        <v>0</v>
      </c>
      <c r="C35">
        <f t="shared" ca="1" si="6"/>
        <v>0</v>
      </c>
      <c r="D35">
        <f t="shared" ca="1" si="6"/>
        <v>0</v>
      </c>
      <c r="E35">
        <f t="shared" ca="1" si="6"/>
        <v>0</v>
      </c>
      <c r="F35">
        <f t="shared" ca="1" si="6"/>
        <v>0</v>
      </c>
      <c r="G35">
        <f t="shared" ca="1" si="6"/>
        <v>0</v>
      </c>
      <c r="H35">
        <f t="shared" ca="1" si="6"/>
        <v>0</v>
      </c>
      <c r="I35">
        <f t="shared" ca="1" si="6"/>
        <v>0</v>
      </c>
      <c r="J35">
        <f t="shared" ca="1" si="6"/>
        <v>0</v>
      </c>
      <c r="K35">
        <f t="shared" ca="1" si="6"/>
        <v>0</v>
      </c>
      <c r="L35">
        <f t="shared" ca="1" si="6"/>
        <v>0</v>
      </c>
      <c r="M35">
        <f t="shared" ca="1" si="6"/>
        <v>0</v>
      </c>
      <c r="N35">
        <f t="shared" ca="1" si="6"/>
        <v>0</v>
      </c>
      <c r="O35">
        <f t="shared" ca="1" si="6"/>
        <v>0</v>
      </c>
      <c r="P35">
        <f t="shared" ca="1" si="6"/>
        <v>0</v>
      </c>
      <c r="Q35">
        <f t="shared" ca="1" si="6"/>
        <v>0</v>
      </c>
      <c r="R35">
        <f t="shared" ca="1" si="6"/>
        <v>0</v>
      </c>
      <c r="S35">
        <f t="shared" ca="1" si="6"/>
        <v>0</v>
      </c>
      <c r="T35">
        <f t="shared" ca="1" si="6"/>
        <v>0</v>
      </c>
      <c r="U35">
        <f t="shared" ca="1" si="6"/>
        <v>0</v>
      </c>
      <c r="V35">
        <f t="shared" ca="1" si="6"/>
        <v>0</v>
      </c>
      <c r="W35">
        <f t="shared" ca="1" si="6"/>
        <v>0</v>
      </c>
      <c r="X35">
        <f t="shared" ca="1" si="6"/>
        <v>0</v>
      </c>
      <c r="Y35">
        <f t="shared" ca="1" si="6"/>
        <v>0</v>
      </c>
      <c r="Z35">
        <f t="shared" ca="1" si="6"/>
        <v>0</v>
      </c>
      <c r="AA35">
        <f t="shared" ca="1" si="6"/>
        <v>0</v>
      </c>
      <c r="AB35">
        <f t="shared" ca="1" si="6"/>
        <v>0</v>
      </c>
      <c r="AC35">
        <f t="shared" ca="1" si="6"/>
        <v>0</v>
      </c>
      <c r="AD35">
        <f t="shared" ca="1" si="6"/>
        <v>0</v>
      </c>
      <c r="AE35">
        <f t="shared" ca="1" si="6"/>
        <v>0</v>
      </c>
      <c r="AF35">
        <f t="shared" ca="1" si="6"/>
        <v>0</v>
      </c>
      <c r="AG35">
        <f t="shared" ca="1" si="6"/>
        <v>0</v>
      </c>
      <c r="AH35">
        <f t="shared" ca="1" si="6"/>
        <v>0</v>
      </c>
      <c r="AI35">
        <f t="shared" ca="1" si="6"/>
        <v>0</v>
      </c>
      <c r="AJ35">
        <f t="shared" ca="1" si="6"/>
        <v>0</v>
      </c>
      <c r="AK35">
        <f t="shared" ca="1" si="6"/>
        <v>0</v>
      </c>
      <c r="AL35">
        <f t="shared" ca="1" si="6"/>
        <v>0</v>
      </c>
      <c r="AM35">
        <f t="shared" ca="1" si="6"/>
        <v>0</v>
      </c>
      <c r="AN35">
        <f t="shared" ca="1" si="6"/>
        <v>0</v>
      </c>
      <c r="AO35">
        <f t="shared" ca="1" si="6"/>
        <v>0</v>
      </c>
      <c r="AP35">
        <f t="shared" ca="1" si="6"/>
        <v>0</v>
      </c>
      <c r="AQ35">
        <f t="shared" ca="1" si="6"/>
        <v>0</v>
      </c>
      <c r="AR35">
        <f t="shared" ca="1" si="6"/>
        <v>0</v>
      </c>
      <c r="AS35">
        <f t="shared" ca="1" si="6"/>
        <v>0</v>
      </c>
      <c r="AT35">
        <f t="shared" ca="1" si="6"/>
        <v>0</v>
      </c>
      <c r="AU35">
        <f t="shared" ca="1" si="6"/>
        <v>0</v>
      </c>
      <c r="AV35">
        <f t="shared" ca="1" si="6"/>
        <v>0</v>
      </c>
      <c r="AW35">
        <f t="shared" ca="1" si="6"/>
        <v>0</v>
      </c>
      <c r="AX35">
        <f t="shared" ca="1" si="6"/>
        <v>0</v>
      </c>
      <c r="AY35">
        <f t="shared" ca="1" si="6"/>
        <v>0</v>
      </c>
    </row>
    <row r="36" spans="1:51" x14ac:dyDescent="0.25">
      <c r="A36" s="13">
        <v>7</v>
      </c>
      <c r="B36">
        <f t="shared" ref="B36:AY36" ca="1" si="7">IF(LOWER(INDEX(INDIRECT($P$71&amp;"_Played"),B11))="x",1,0)</f>
        <v>0</v>
      </c>
      <c r="C36">
        <f t="shared" ca="1" si="7"/>
        <v>0</v>
      </c>
      <c r="D36">
        <f t="shared" ca="1" si="7"/>
        <v>0</v>
      </c>
      <c r="E36">
        <f t="shared" ca="1" si="7"/>
        <v>0</v>
      </c>
      <c r="F36">
        <f t="shared" ca="1" si="7"/>
        <v>0</v>
      </c>
      <c r="G36">
        <f t="shared" ca="1" si="7"/>
        <v>0</v>
      </c>
      <c r="H36">
        <f t="shared" ca="1" si="7"/>
        <v>0</v>
      </c>
      <c r="I36">
        <f t="shared" ca="1" si="7"/>
        <v>0</v>
      </c>
      <c r="J36">
        <f t="shared" ca="1" si="7"/>
        <v>0</v>
      </c>
      <c r="K36">
        <f t="shared" ca="1" si="7"/>
        <v>0</v>
      </c>
      <c r="L36">
        <f t="shared" ca="1" si="7"/>
        <v>0</v>
      </c>
      <c r="M36">
        <f t="shared" ca="1" si="7"/>
        <v>0</v>
      </c>
      <c r="N36">
        <f t="shared" ca="1" si="7"/>
        <v>0</v>
      </c>
      <c r="O36">
        <f t="shared" ca="1" si="7"/>
        <v>0</v>
      </c>
      <c r="P36">
        <f t="shared" ca="1" si="7"/>
        <v>0</v>
      </c>
      <c r="Q36">
        <f t="shared" ca="1" si="7"/>
        <v>0</v>
      </c>
      <c r="R36">
        <f t="shared" ca="1" si="7"/>
        <v>0</v>
      </c>
      <c r="S36">
        <f t="shared" ca="1" si="7"/>
        <v>0</v>
      </c>
      <c r="T36">
        <f t="shared" ca="1" si="7"/>
        <v>0</v>
      </c>
      <c r="U36">
        <f t="shared" ca="1" si="7"/>
        <v>0</v>
      </c>
      <c r="V36">
        <f t="shared" ca="1" si="7"/>
        <v>0</v>
      </c>
      <c r="W36">
        <f t="shared" ca="1" si="7"/>
        <v>0</v>
      </c>
      <c r="X36">
        <f t="shared" ca="1" si="7"/>
        <v>0</v>
      </c>
      <c r="Y36">
        <f t="shared" ca="1" si="7"/>
        <v>0</v>
      </c>
      <c r="Z36">
        <f t="shared" ca="1" si="7"/>
        <v>0</v>
      </c>
      <c r="AA36">
        <f t="shared" ca="1" si="7"/>
        <v>0</v>
      </c>
      <c r="AB36">
        <f t="shared" ca="1" si="7"/>
        <v>0</v>
      </c>
      <c r="AC36">
        <f t="shared" ca="1" si="7"/>
        <v>0</v>
      </c>
      <c r="AD36">
        <f t="shared" ca="1" si="7"/>
        <v>0</v>
      </c>
      <c r="AE36">
        <f t="shared" ca="1" si="7"/>
        <v>0</v>
      </c>
      <c r="AF36">
        <f t="shared" ca="1" si="7"/>
        <v>0</v>
      </c>
      <c r="AG36">
        <f t="shared" ca="1" si="7"/>
        <v>0</v>
      </c>
      <c r="AH36">
        <f t="shared" ca="1" si="7"/>
        <v>0</v>
      </c>
      <c r="AI36">
        <f t="shared" ca="1" si="7"/>
        <v>0</v>
      </c>
      <c r="AJ36">
        <f t="shared" ca="1" si="7"/>
        <v>0</v>
      </c>
      <c r="AK36">
        <f t="shared" ca="1" si="7"/>
        <v>0</v>
      </c>
      <c r="AL36">
        <f t="shared" ca="1" si="7"/>
        <v>0</v>
      </c>
      <c r="AM36">
        <f t="shared" ca="1" si="7"/>
        <v>0</v>
      </c>
      <c r="AN36">
        <f t="shared" ca="1" si="7"/>
        <v>0</v>
      </c>
      <c r="AO36">
        <f t="shared" ca="1" si="7"/>
        <v>0</v>
      </c>
      <c r="AP36">
        <f t="shared" ca="1" si="7"/>
        <v>0</v>
      </c>
      <c r="AQ36">
        <f t="shared" ca="1" si="7"/>
        <v>0</v>
      </c>
      <c r="AR36">
        <f t="shared" ca="1" si="7"/>
        <v>0</v>
      </c>
      <c r="AS36">
        <f t="shared" ca="1" si="7"/>
        <v>0</v>
      </c>
      <c r="AT36">
        <f t="shared" ca="1" si="7"/>
        <v>0</v>
      </c>
      <c r="AU36">
        <f t="shared" ca="1" si="7"/>
        <v>0</v>
      </c>
      <c r="AV36">
        <f t="shared" ca="1" si="7"/>
        <v>0</v>
      </c>
      <c r="AW36">
        <f t="shared" ca="1" si="7"/>
        <v>0</v>
      </c>
      <c r="AX36">
        <f t="shared" ca="1" si="7"/>
        <v>0</v>
      </c>
      <c r="AY36">
        <f t="shared" ca="1" si="7"/>
        <v>0</v>
      </c>
    </row>
    <row r="37" spans="1:51" x14ac:dyDescent="0.25">
      <c r="A37" s="13">
        <v>8</v>
      </c>
      <c r="B37">
        <f t="shared" ref="B37:AY37" ca="1" si="8">IF(LOWER(INDEX(INDIRECT($P$71&amp;"_Played"),B12))="x",1,0)</f>
        <v>0</v>
      </c>
      <c r="C37">
        <f t="shared" ca="1" si="8"/>
        <v>0</v>
      </c>
      <c r="D37">
        <f t="shared" ca="1" si="8"/>
        <v>0</v>
      </c>
      <c r="E37">
        <f t="shared" ca="1" si="8"/>
        <v>0</v>
      </c>
      <c r="F37">
        <f t="shared" ca="1" si="8"/>
        <v>0</v>
      </c>
      <c r="G37">
        <f t="shared" ca="1" si="8"/>
        <v>0</v>
      </c>
      <c r="H37">
        <f t="shared" ca="1" si="8"/>
        <v>0</v>
      </c>
      <c r="I37">
        <f t="shared" ca="1" si="8"/>
        <v>0</v>
      </c>
      <c r="J37">
        <f t="shared" ca="1" si="8"/>
        <v>0</v>
      </c>
      <c r="K37">
        <f t="shared" ca="1" si="8"/>
        <v>0</v>
      </c>
      <c r="L37">
        <f t="shared" ca="1" si="8"/>
        <v>0</v>
      </c>
      <c r="M37">
        <f t="shared" ca="1" si="8"/>
        <v>0</v>
      </c>
      <c r="N37">
        <f t="shared" ca="1" si="8"/>
        <v>0</v>
      </c>
      <c r="O37">
        <f t="shared" ca="1" si="8"/>
        <v>0</v>
      </c>
      <c r="P37">
        <f t="shared" ca="1" si="8"/>
        <v>0</v>
      </c>
      <c r="Q37">
        <f t="shared" ca="1" si="8"/>
        <v>0</v>
      </c>
      <c r="R37">
        <f t="shared" ca="1" si="8"/>
        <v>0</v>
      </c>
      <c r="S37">
        <f t="shared" ca="1" si="8"/>
        <v>0</v>
      </c>
      <c r="T37">
        <f t="shared" ca="1" si="8"/>
        <v>0</v>
      </c>
      <c r="U37">
        <f t="shared" ca="1" si="8"/>
        <v>0</v>
      </c>
      <c r="V37">
        <f t="shared" ca="1" si="8"/>
        <v>0</v>
      </c>
      <c r="W37">
        <f t="shared" ca="1" si="8"/>
        <v>0</v>
      </c>
      <c r="X37">
        <f t="shared" ca="1" si="8"/>
        <v>0</v>
      </c>
      <c r="Y37">
        <f t="shared" ca="1" si="8"/>
        <v>0</v>
      </c>
      <c r="Z37">
        <f t="shared" ca="1" si="8"/>
        <v>0</v>
      </c>
      <c r="AA37">
        <f t="shared" ca="1" si="8"/>
        <v>0</v>
      </c>
      <c r="AB37">
        <f t="shared" ca="1" si="8"/>
        <v>0</v>
      </c>
      <c r="AC37">
        <f t="shared" ca="1" si="8"/>
        <v>0</v>
      </c>
      <c r="AD37">
        <f t="shared" ca="1" si="8"/>
        <v>0</v>
      </c>
      <c r="AE37">
        <f t="shared" ca="1" si="8"/>
        <v>0</v>
      </c>
      <c r="AF37">
        <f t="shared" ca="1" si="8"/>
        <v>0</v>
      </c>
      <c r="AG37">
        <f t="shared" ca="1" si="8"/>
        <v>0</v>
      </c>
      <c r="AH37">
        <f t="shared" ca="1" si="8"/>
        <v>0</v>
      </c>
      <c r="AI37">
        <f t="shared" ca="1" si="8"/>
        <v>0</v>
      </c>
      <c r="AJ37">
        <f t="shared" ca="1" si="8"/>
        <v>0</v>
      </c>
      <c r="AK37">
        <f t="shared" ca="1" si="8"/>
        <v>0</v>
      </c>
      <c r="AL37">
        <f t="shared" ca="1" si="8"/>
        <v>0</v>
      </c>
      <c r="AM37">
        <f t="shared" ca="1" si="8"/>
        <v>0</v>
      </c>
      <c r="AN37">
        <f t="shared" ca="1" si="8"/>
        <v>0</v>
      </c>
      <c r="AO37">
        <f t="shared" ca="1" si="8"/>
        <v>0</v>
      </c>
      <c r="AP37">
        <f t="shared" ca="1" si="8"/>
        <v>0</v>
      </c>
      <c r="AQ37">
        <f t="shared" ca="1" si="8"/>
        <v>0</v>
      </c>
      <c r="AR37">
        <f t="shared" ca="1" si="8"/>
        <v>0</v>
      </c>
      <c r="AS37">
        <f t="shared" ca="1" si="8"/>
        <v>0</v>
      </c>
      <c r="AT37">
        <f t="shared" ca="1" si="8"/>
        <v>0</v>
      </c>
      <c r="AU37">
        <f t="shared" ca="1" si="8"/>
        <v>0</v>
      </c>
      <c r="AV37">
        <f t="shared" ca="1" si="8"/>
        <v>0</v>
      </c>
      <c r="AW37">
        <f t="shared" ca="1" si="8"/>
        <v>0</v>
      </c>
      <c r="AX37">
        <f t="shared" ca="1" si="8"/>
        <v>0</v>
      </c>
      <c r="AY37">
        <f t="shared" ca="1" si="8"/>
        <v>0</v>
      </c>
    </row>
    <row r="38" spans="1:51" x14ac:dyDescent="0.25">
      <c r="A38" s="13">
        <v>9</v>
      </c>
      <c r="B38">
        <f t="shared" ref="B38:AY38" ca="1" si="9">IF(LOWER(INDEX(INDIRECT($P$71&amp;"_Played"),B13))="x",1,0)</f>
        <v>0</v>
      </c>
      <c r="C38">
        <f t="shared" ca="1" si="9"/>
        <v>0</v>
      </c>
      <c r="D38">
        <f t="shared" ca="1" si="9"/>
        <v>0</v>
      </c>
      <c r="E38">
        <f t="shared" ca="1" si="9"/>
        <v>0</v>
      </c>
      <c r="F38">
        <f t="shared" ca="1" si="9"/>
        <v>0</v>
      </c>
      <c r="G38">
        <f t="shared" ca="1" si="9"/>
        <v>0</v>
      </c>
      <c r="H38">
        <f t="shared" ca="1" si="9"/>
        <v>0</v>
      </c>
      <c r="I38">
        <f t="shared" ca="1" si="9"/>
        <v>0</v>
      </c>
      <c r="J38">
        <f t="shared" ca="1" si="9"/>
        <v>0</v>
      </c>
      <c r="K38">
        <f t="shared" ca="1" si="9"/>
        <v>0</v>
      </c>
      <c r="L38">
        <f t="shared" ca="1" si="9"/>
        <v>0</v>
      </c>
      <c r="M38">
        <f t="shared" ca="1" si="9"/>
        <v>0</v>
      </c>
      <c r="N38">
        <f t="shared" ca="1" si="9"/>
        <v>0</v>
      </c>
      <c r="O38">
        <f t="shared" ca="1" si="9"/>
        <v>0</v>
      </c>
      <c r="P38">
        <f t="shared" ca="1" si="9"/>
        <v>0</v>
      </c>
      <c r="Q38">
        <f t="shared" ca="1" si="9"/>
        <v>0</v>
      </c>
      <c r="R38">
        <f t="shared" ca="1" si="9"/>
        <v>0</v>
      </c>
      <c r="S38">
        <f t="shared" ca="1" si="9"/>
        <v>0</v>
      </c>
      <c r="T38">
        <f t="shared" ca="1" si="9"/>
        <v>0</v>
      </c>
      <c r="U38">
        <f t="shared" ca="1" si="9"/>
        <v>0</v>
      </c>
      <c r="V38">
        <f t="shared" ca="1" si="9"/>
        <v>0</v>
      </c>
      <c r="W38">
        <f t="shared" ca="1" si="9"/>
        <v>0</v>
      </c>
      <c r="X38">
        <f t="shared" ca="1" si="9"/>
        <v>0</v>
      </c>
      <c r="Y38">
        <f t="shared" ca="1" si="9"/>
        <v>0</v>
      </c>
      <c r="Z38">
        <f t="shared" ca="1" si="9"/>
        <v>0</v>
      </c>
      <c r="AA38">
        <f t="shared" ca="1" si="9"/>
        <v>0</v>
      </c>
      <c r="AB38">
        <f t="shared" ca="1" si="9"/>
        <v>0</v>
      </c>
      <c r="AC38">
        <f t="shared" ca="1" si="9"/>
        <v>0</v>
      </c>
      <c r="AD38">
        <f t="shared" ca="1" si="9"/>
        <v>0</v>
      </c>
      <c r="AE38">
        <f t="shared" ca="1" si="9"/>
        <v>0</v>
      </c>
      <c r="AF38">
        <f t="shared" ca="1" si="9"/>
        <v>0</v>
      </c>
      <c r="AG38">
        <f t="shared" ca="1" si="9"/>
        <v>0</v>
      </c>
      <c r="AH38">
        <f t="shared" ca="1" si="9"/>
        <v>0</v>
      </c>
      <c r="AI38">
        <f t="shared" ca="1" si="9"/>
        <v>0</v>
      </c>
      <c r="AJ38">
        <f t="shared" ca="1" si="9"/>
        <v>0</v>
      </c>
      <c r="AK38">
        <f t="shared" ca="1" si="9"/>
        <v>0</v>
      </c>
      <c r="AL38">
        <f t="shared" ca="1" si="9"/>
        <v>0</v>
      </c>
      <c r="AM38">
        <f t="shared" ca="1" si="9"/>
        <v>0</v>
      </c>
      <c r="AN38">
        <f t="shared" ca="1" si="9"/>
        <v>0</v>
      </c>
      <c r="AO38">
        <f t="shared" ca="1" si="9"/>
        <v>0</v>
      </c>
      <c r="AP38">
        <f t="shared" ca="1" si="9"/>
        <v>0</v>
      </c>
      <c r="AQ38">
        <f t="shared" ca="1" si="9"/>
        <v>0</v>
      </c>
      <c r="AR38">
        <f t="shared" ca="1" si="9"/>
        <v>0</v>
      </c>
      <c r="AS38">
        <f t="shared" ca="1" si="9"/>
        <v>0</v>
      </c>
      <c r="AT38">
        <f t="shared" ca="1" si="9"/>
        <v>0</v>
      </c>
      <c r="AU38">
        <f t="shared" ca="1" si="9"/>
        <v>0</v>
      </c>
      <c r="AV38">
        <f t="shared" ca="1" si="9"/>
        <v>0</v>
      </c>
      <c r="AW38">
        <f t="shared" ca="1" si="9"/>
        <v>0</v>
      </c>
      <c r="AX38">
        <f t="shared" ca="1" si="9"/>
        <v>0</v>
      </c>
      <c r="AY38">
        <f t="shared" ca="1" si="9"/>
        <v>0</v>
      </c>
    </row>
    <row r="39" spans="1:51" x14ac:dyDescent="0.25">
      <c r="A39" s="13">
        <v>10</v>
      </c>
      <c r="B39">
        <f t="shared" ref="B39:AY39" ca="1" si="10">IF(LOWER(INDEX(INDIRECT($P$71&amp;"_Played"),B14))="x",1,0)</f>
        <v>0</v>
      </c>
      <c r="C39">
        <f t="shared" ca="1" si="10"/>
        <v>0</v>
      </c>
      <c r="D39">
        <f t="shared" ca="1" si="10"/>
        <v>0</v>
      </c>
      <c r="E39">
        <f t="shared" ca="1" si="10"/>
        <v>0</v>
      </c>
      <c r="F39">
        <f t="shared" ca="1" si="10"/>
        <v>0</v>
      </c>
      <c r="G39">
        <f t="shared" ca="1" si="10"/>
        <v>0</v>
      </c>
      <c r="H39">
        <f t="shared" ca="1" si="10"/>
        <v>0</v>
      </c>
      <c r="I39">
        <f t="shared" ca="1" si="10"/>
        <v>0</v>
      </c>
      <c r="J39">
        <f t="shared" ca="1" si="10"/>
        <v>0</v>
      </c>
      <c r="K39">
        <f t="shared" ca="1" si="10"/>
        <v>0</v>
      </c>
      <c r="L39">
        <f t="shared" ca="1" si="10"/>
        <v>0</v>
      </c>
      <c r="M39">
        <f t="shared" ca="1" si="10"/>
        <v>0</v>
      </c>
      <c r="N39">
        <f t="shared" ca="1" si="10"/>
        <v>0</v>
      </c>
      <c r="O39">
        <f t="shared" ca="1" si="10"/>
        <v>0</v>
      </c>
      <c r="P39">
        <f t="shared" ca="1" si="10"/>
        <v>0</v>
      </c>
      <c r="Q39">
        <f t="shared" ca="1" si="10"/>
        <v>0</v>
      </c>
      <c r="R39">
        <f t="shared" ca="1" si="10"/>
        <v>0</v>
      </c>
      <c r="S39">
        <f t="shared" ca="1" si="10"/>
        <v>0</v>
      </c>
      <c r="T39">
        <f t="shared" ca="1" si="10"/>
        <v>0</v>
      </c>
      <c r="U39">
        <f t="shared" ca="1" si="10"/>
        <v>0</v>
      </c>
      <c r="V39">
        <f t="shared" ca="1" si="10"/>
        <v>0</v>
      </c>
      <c r="W39">
        <f t="shared" ca="1" si="10"/>
        <v>0</v>
      </c>
      <c r="X39">
        <f t="shared" ca="1" si="10"/>
        <v>0</v>
      </c>
      <c r="Y39">
        <f t="shared" ca="1" si="10"/>
        <v>0</v>
      </c>
      <c r="Z39">
        <f t="shared" ca="1" si="10"/>
        <v>0</v>
      </c>
      <c r="AA39">
        <f t="shared" ca="1" si="10"/>
        <v>0</v>
      </c>
      <c r="AB39">
        <f t="shared" ca="1" si="10"/>
        <v>0</v>
      </c>
      <c r="AC39">
        <f t="shared" ca="1" si="10"/>
        <v>0</v>
      </c>
      <c r="AD39">
        <f t="shared" ca="1" si="10"/>
        <v>0</v>
      </c>
      <c r="AE39">
        <f t="shared" ca="1" si="10"/>
        <v>0</v>
      </c>
      <c r="AF39">
        <f t="shared" ca="1" si="10"/>
        <v>0</v>
      </c>
      <c r="AG39">
        <f t="shared" ca="1" si="10"/>
        <v>0</v>
      </c>
      <c r="AH39">
        <f t="shared" ca="1" si="10"/>
        <v>0</v>
      </c>
      <c r="AI39">
        <f t="shared" ca="1" si="10"/>
        <v>0</v>
      </c>
      <c r="AJ39">
        <f t="shared" ca="1" si="10"/>
        <v>0</v>
      </c>
      <c r="AK39">
        <f t="shared" ca="1" si="10"/>
        <v>0</v>
      </c>
      <c r="AL39">
        <f t="shared" ca="1" si="10"/>
        <v>0</v>
      </c>
      <c r="AM39">
        <f t="shared" ca="1" si="10"/>
        <v>0</v>
      </c>
      <c r="AN39">
        <f t="shared" ca="1" si="10"/>
        <v>0</v>
      </c>
      <c r="AO39">
        <f t="shared" ca="1" si="10"/>
        <v>0</v>
      </c>
      <c r="AP39">
        <f t="shared" ca="1" si="10"/>
        <v>0</v>
      </c>
      <c r="AQ39">
        <f t="shared" ca="1" si="10"/>
        <v>0</v>
      </c>
      <c r="AR39">
        <f t="shared" ca="1" si="10"/>
        <v>0</v>
      </c>
      <c r="AS39">
        <f t="shared" ca="1" si="10"/>
        <v>0</v>
      </c>
      <c r="AT39">
        <f t="shared" ca="1" si="10"/>
        <v>0</v>
      </c>
      <c r="AU39">
        <f t="shared" ca="1" si="10"/>
        <v>0</v>
      </c>
      <c r="AV39">
        <f t="shared" ca="1" si="10"/>
        <v>0</v>
      </c>
      <c r="AW39">
        <f t="shared" ca="1" si="10"/>
        <v>0</v>
      </c>
      <c r="AX39">
        <f t="shared" ca="1" si="10"/>
        <v>0</v>
      </c>
      <c r="AY39">
        <f t="shared" ca="1" si="10"/>
        <v>0</v>
      </c>
    </row>
    <row r="40" spans="1:51" x14ac:dyDescent="0.25">
      <c r="A40" s="13">
        <v>11</v>
      </c>
      <c r="B40">
        <f t="shared" ref="B40:AY40" ca="1" si="11">IF(LOWER(INDEX(INDIRECT($P$71&amp;"_Played"),B15))="x",1,0)</f>
        <v>0</v>
      </c>
      <c r="C40">
        <f t="shared" ca="1" si="11"/>
        <v>0</v>
      </c>
      <c r="D40">
        <f t="shared" ca="1" si="11"/>
        <v>0</v>
      </c>
      <c r="E40">
        <f t="shared" ca="1" si="11"/>
        <v>0</v>
      </c>
      <c r="F40">
        <f t="shared" ca="1" si="11"/>
        <v>0</v>
      </c>
      <c r="G40">
        <f t="shared" ca="1" si="11"/>
        <v>0</v>
      </c>
      <c r="H40">
        <f t="shared" ca="1" si="11"/>
        <v>0</v>
      </c>
      <c r="I40">
        <f t="shared" ca="1" si="11"/>
        <v>0</v>
      </c>
      <c r="J40">
        <f t="shared" ca="1" si="11"/>
        <v>0</v>
      </c>
      <c r="K40">
        <f t="shared" ca="1" si="11"/>
        <v>0</v>
      </c>
      <c r="L40">
        <f t="shared" ca="1" si="11"/>
        <v>0</v>
      </c>
      <c r="M40">
        <f t="shared" ca="1" si="11"/>
        <v>0</v>
      </c>
      <c r="N40">
        <f t="shared" ca="1" si="11"/>
        <v>0</v>
      </c>
      <c r="O40">
        <f t="shared" ca="1" si="11"/>
        <v>0</v>
      </c>
      <c r="P40">
        <f t="shared" ca="1" si="11"/>
        <v>0</v>
      </c>
      <c r="Q40">
        <f t="shared" ca="1" si="11"/>
        <v>0</v>
      </c>
      <c r="R40">
        <f t="shared" ca="1" si="11"/>
        <v>0</v>
      </c>
      <c r="S40">
        <f t="shared" ca="1" si="11"/>
        <v>0</v>
      </c>
      <c r="T40">
        <f t="shared" ca="1" si="11"/>
        <v>0</v>
      </c>
      <c r="U40">
        <f t="shared" ca="1" si="11"/>
        <v>0</v>
      </c>
      <c r="V40">
        <f t="shared" ca="1" si="11"/>
        <v>0</v>
      </c>
      <c r="W40">
        <f t="shared" ca="1" si="11"/>
        <v>0</v>
      </c>
      <c r="X40">
        <f t="shared" ca="1" si="11"/>
        <v>0</v>
      </c>
      <c r="Y40">
        <f t="shared" ca="1" si="11"/>
        <v>0</v>
      </c>
      <c r="Z40">
        <f t="shared" ca="1" si="11"/>
        <v>0</v>
      </c>
      <c r="AA40">
        <f t="shared" ca="1" si="11"/>
        <v>0</v>
      </c>
      <c r="AB40">
        <f t="shared" ca="1" si="11"/>
        <v>0</v>
      </c>
      <c r="AC40">
        <f t="shared" ca="1" si="11"/>
        <v>0</v>
      </c>
      <c r="AD40">
        <f t="shared" ca="1" si="11"/>
        <v>0</v>
      </c>
      <c r="AE40">
        <f t="shared" ca="1" si="11"/>
        <v>0</v>
      </c>
      <c r="AF40">
        <f t="shared" ca="1" si="11"/>
        <v>0</v>
      </c>
      <c r="AG40">
        <f t="shared" ca="1" si="11"/>
        <v>0</v>
      </c>
      <c r="AH40">
        <f t="shared" ca="1" si="11"/>
        <v>0</v>
      </c>
      <c r="AI40">
        <f t="shared" ca="1" si="11"/>
        <v>0</v>
      </c>
      <c r="AJ40">
        <f t="shared" ca="1" si="11"/>
        <v>0</v>
      </c>
      <c r="AK40">
        <f t="shared" ca="1" si="11"/>
        <v>0</v>
      </c>
      <c r="AL40">
        <f t="shared" ca="1" si="11"/>
        <v>0</v>
      </c>
      <c r="AM40">
        <f t="shared" ca="1" si="11"/>
        <v>0</v>
      </c>
      <c r="AN40">
        <f t="shared" ca="1" si="11"/>
        <v>0</v>
      </c>
      <c r="AO40">
        <f t="shared" ca="1" si="11"/>
        <v>0</v>
      </c>
      <c r="AP40">
        <f t="shared" ca="1" si="11"/>
        <v>0</v>
      </c>
      <c r="AQ40">
        <f t="shared" ca="1" si="11"/>
        <v>0</v>
      </c>
      <c r="AR40">
        <f t="shared" ca="1" si="11"/>
        <v>0</v>
      </c>
      <c r="AS40">
        <f t="shared" ca="1" si="11"/>
        <v>0</v>
      </c>
      <c r="AT40">
        <f t="shared" ca="1" si="11"/>
        <v>0</v>
      </c>
      <c r="AU40">
        <f t="shared" ca="1" si="11"/>
        <v>0</v>
      </c>
      <c r="AV40">
        <f t="shared" ca="1" si="11"/>
        <v>0</v>
      </c>
      <c r="AW40">
        <f t="shared" ca="1" si="11"/>
        <v>0</v>
      </c>
      <c r="AX40">
        <f t="shared" ca="1" si="11"/>
        <v>0</v>
      </c>
      <c r="AY40">
        <f t="shared" ca="1" si="11"/>
        <v>0</v>
      </c>
    </row>
    <row r="41" spans="1:51" x14ac:dyDescent="0.25">
      <c r="A41" s="13">
        <v>12</v>
      </c>
      <c r="B41">
        <f t="shared" ref="B41:AY41" ca="1" si="12">IF(LOWER(INDEX(INDIRECT($P$71&amp;"_Played"),B16))="x",1,0)</f>
        <v>0</v>
      </c>
      <c r="C41">
        <f t="shared" ca="1" si="12"/>
        <v>0</v>
      </c>
      <c r="D41">
        <f t="shared" ca="1" si="12"/>
        <v>0</v>
      </c>
      <c r="E41">
        <f t="shared" ca="1" si="12"/>
        <v>0</v>
      </c>
      <c r="F41">
        <f t="shared" ca="1" si="12"/>
        <v>0</v>
      </c>
      <c r="G41">
        <f t="shared" ca="1" si="12"/>
        <v>0</v>
      </c>
      <c r="H41">
        <f t="shared" ca="1" si="12"/>
        <v>0</v>
      </c>
      <c r="I41">
        <f t="shared" ca="1" si="12"/>
        <v>0</v>
      </c>
      <c r="J41">
        <f t="shared" ca="1" si="12"/>
        <v>0</v>
      </c>
      <c r="K41">
        <f t="shared" ca="1" si="12"/>
        <v>0</v>
      </c>
      <c r="L41">
        <f t="shared" ca="1" si="12"/>
        <v>0</v>
      </c>
      <c r="M41">
        <f t="shared" ca="1" si="12"/>
        <v>0</v>
      </c>
      <c r="N41">
        <f t="shared" ca="1" si="12"/>
        <v>0</v>
      </c>
      <c r="O41">
        <f t="shared" ca="1" si="12"/>
        <v>0</v>
      </c>
      <c r="P41">
        <f t="shared" ca="1" si="12"/>
        <v>0</v>
      </c>
      <c r="Q41">
        <f t="shared" ca="1" si="12"/>
        <v>0</v>
      </c>
      <c r="R41">
        <f t="shared" ca="1" si="12"/>
        <v>0</v>
      </c>
      <c r="S41">
        <f t="shared" ca="1" si="12"/>
        <v>0</v>
      </c>
      <c r="T41">
        <f t="shared" ca="1" si="12"/>
        <v>0</v>
      </c>
      <c r="U41">
        <f t="shared" ca="1" si="12"/>
        <v>0</v>
      </c>
      <c r="V41">
        <f t="shared" ca="1" si="12"/>
        <v>0</v>
      </c>
      <c r="W41">
        <f t="shared" ca="1" si="12"/>
        <v>0</v>
      </c>
      <c r="X41">
        <f t="shared" ca="1" si="12"/>
        <v>0</v>
      </c>
      <c r="Y41">
        <f t="shared" ca="1" si="12"/>
        <v>0</v>
      </c>
      <c r="Z41">
        <f t="shared" ca="1" si="12"/>
        <v>0</v>
      </c>
      <c r="AA41">
        <f t="shared" ca="1" si="12"/>
        <v>0</v>
      </c>
      <c r="AB41">
        <f t="shared" ca="1" si="12"/>
        <v>0</v>
      </c>
      <c r="AC41">
        <f t="shared" ca="1" si="12"/>
        <v>0</v>
      </c>
      <c r="AD41">
        <f t="shared" ca="1" si="12"/>
        <v>0</v>
      </c>
      <c r="AE41">
        <f t="shared" ca="1" si="12"/>
        <v>0</v>
      </c>
      <c r="AF41">
        <f t="shared" ca="1" si="12"/>
        <v>0</v>
      </c>
      <c r="AG41">
        <f t="shared" ca="1" si="12"/>
        <v>0</v>
      </c>
      <c r="AH41">
        <f t="shared" ca="1" si="12"/>
        <v>0</v>
      </c>
      <c r="AI41">
        <f t="shared" ca="1" si="12"/>
        <v>0</v>
      </c>
      <c r="AJ41">
        <f t="shared" ca="1" si="12"/>
        <v>0</v>
      </c>
      <c r="AK41">
        <f t="shared" ca="1" si="12"/>
        <v>0</v>
      </c>
      <c r="AL41">
        <f t="shared" ca="1" si="12"/>
        <v>0</v>
      </c>
      <c r="AM41">
        <f t="shared" ca="1" si="12"/>
        <v>0</v>
      </c>
      <c r="AN41">
        <f t="shared" ca="1" si="12"/>
        <v>0</v>
      </c>
      <c r="AO41">
        <f t="shared" ca="1" si="12"/>
        <v>0</v>
      </c>
      <c r="AP41">
        <f t="shared" ca="1" si="12"/>
        <v>0</v>
      </c>
      <c r="AQ41">
        <f t="shared" ca="1" si="12"/>
        <v>0</v>
      </c>
      <c r="AR41">
        <f t="shared" ca="1" si="12"/>
        <v>0</v>
      </c>
      <c r="AS41">
        <f t="shared" ca="1" si="12"/>
        <v>0</v>
      </c>
      <c r="AT41">
        <f t="shared" ca="1" si="12"/>
        <v>0</v>
      </c>
      <c r="AU41">
        <f t="shared" ca="1" si="12"/>
        <v>0</v>
      </c>
      <c r="AV41">
        <f t="shared" ca="1" si="12"/>
        <v>0</v>
      </c>
      <c r="AW41">
        <f t="shared" ca="1" si="12"/>
        <v>0</v>
      </c>
      <c r="AX41">
        <f t="shared" ca="1" si="12"/>
        <v>0</v>
      </c>
      <c r="AY41">
        <f t="shared" ca="1" si="12"/>
        <v>0</v>
      </c>
    </row>
    <row r="42" spans="1:51" x14ac:dyDescent="0.25">
      <c r="A42" s="13">
        <v>13</v>
      </c>
      <c r="B42">
        <f t="shared" ref="B42:AY42" ca="1" si="13">IF(LOWER(INDEX(INDIRECT($P$71&amp;"_Played"),B17))="x",1,0)</f>
        <v>0</v>
      </c>
      <c r="C42">
        <f t="shared" ca="1" si="13"/>
        <v>0</v>
      </c>
      <c r="D42">
        <f t="shared" ca="1" si="13"/>
        <v>0</v>
      </c>
      <c r="E42">
        <f t="shared" ca="1" si="13"/>
        <v>0</v>
      </c>
      <c r="F42">
        <f t="shared" ca="1" si="13"/>
        <v>0</v>
      </c>
      <c r="G42">
        <f t="shared" ca="1" si="13"/>
        <v>0</v>
      </c>
      <c r="H42">
        <f t="shared" ca="1" si="13"/>
        <v>0</v>
      </c>
      <c r="I42">
        <f t="shared" ca="1" si="13"/>
        <v>0</v>
      </c>
      <c r="J42">
        <f t="shared" ca="1" si="13"/>
        <v>0</v>
      </c>
      <c r="K42">
        <f t="shared" ca="1" si="13"/>
        <v>0</v>
      </c>
      <c r="L42">
        <f t="shared" ca="1" si="13"/>
        <v>0</v>
      </c>
      <c r="M42">
        <f t="shared" ca="1" si="13"/>
        <v>0</v>
      </c>
      <c r="N42">
        <f t="shared" ca="1" si="13"/>
        <v>0</v>
      </c>
      <c r="O42">
        <f t="shared" ca="1" si="13"/>
        <v>0</v>
      </c>
      <c r="P42">
        <f t="shared" ca="1" si="13"/>
        <v>0</v>
      </c>
      <c r="Q42">
        <f t="shared" ca="1" si="13"/>
        <v>0</v>
      </c>
      <c r="R42">
        <f t="shared" ca="1" si="13"/>
        <v>0</v>
      </c>
      <c r="S42">
        <f t="shared" ca="1" si="13"/>
        <v>0</v>
      </c>
      <c r="T42">
        <f t="shared" ca="1" si="13"/>
        <v>0</v>
      </c>
      <c r="U42">
        <f t="shared" ca="1" si="13"/>
        <v>0</v>
      </c>
      <c r="V42">
        <f t="shared" ca="1" si="13"/>
        <v>0</v>
      </c>
      <c r="W42">
        <f t="shared" ca="1" si="13"/>
        <v>0</v>
      </c>
      <c r="X42">
        <f t="shared" ca="1" si="13"/>
        <v>0</v>
      </c>
      <c r="Y42">
        <f t="shared" ca="1" si="13"/>
        <v>0</v>
      </c>
      <c r="Z42">
        <f t="shared" ca="1" si="13"/>
        <v>0</v>
      </c>
      <c r="AA42">
        <f t="shared" ca="1" si="13"/>
        <v>0</v>
      </c>
      <c r="AB42">
        <f t="shared" ca="1" si="13"/>
        <v>0</v>
      </c>
      <c r="AC42">
        <f t="shared" ca="1" si="13"/>
        <v>0</v>
      </c>
      <c r="AD42">
        <f t="shared" ca="1" si="13"/>
        <v>0</v>
      </c>
      <c r="AE42">
        <f t="shared" ca="1" si="13"/>
        <v>0</v>
      </c>
      <c r="AF42">
        <f t="shared" ca="1" si="13"/>
        <v>0</v>
      </c>
      <c r="AG42">
        <f t="shared" ca="1" si="13"/>
        <v>0</v>
      </c>
      <c r="AH42">
        <f t="shared" ca="1" si="13"/>
        <v>0</v>
      </c>
      <c r="AI42">
        <f t="shared" ca="1" si="13"/>
        <v>0</v>
      </c>
      <c r="AJ42">
        <f t="shared" ca="1" si="13"/>
        <v>0</v>
      </c>
      <c r="AK42">
        <f t="shared" ca="1" si="13"/>
        <v>0</v>
      </c>
      <c r="AL42">
        <f t="shared" ca="1" si="13"/>
        <v>0</v>
      </c>
      <c r="AM42">
        <f t="shared" ca="1" si="13"/>
        <v>0</v>
      </c>
      <c r="AN42">
        <f t="shared" ca="1" si="13"/>
        <v>0</v>
      </c>
      <c r="AO42">
        <f t="shared" ca="1" si="13"/>
        <v>0</v>
      </c>
      <c r="AP42">
        <f t="shared" ca="1" si="13"/>
        <v>0</v>
      </c>
      <c r="AQ42">
        <f t="shared" ca="1" si="13"/>
        <v>0</v>
      </c>
      <c r="AR42">
        <f t="shared" ca="1" si="13"/>
        <v>0</v>
      </c>
      <c r="AS42">
        <f t="shared" ca="1" si="13"/>
        <v>0</v>
      </c>
      <c r="AT42">
        <f t="shared" ca="1" si="13"/>
        <v>0</v>
      </c>
      <c r="AU42">
        <f t="shared" ca="1" si="13"/>
        <v>0</v>
      </c>
      <c r="AV42">
        <f t="shared" ca="1" si="13"/>
        <v>0</v>
      </c>
      <c r="AW42">
        <f t="shared" ca="1" si="13"/>
        <v>0</v>
      </c>
      <c r="AX42">
        <f t="shared" ca="1" si="13"/>
        <v>0</v>
      </c>
      <c r="AY42">
        <f t="shared" ca="1" si="13"/>
        <v>0</v>
      </c>
    </row>
    <row r="43" spans="1:51" x14ac:dyDescent="0.25">
      <c r="A43" s="13">
        <v>14</v>
      </c>
      <c r="B43">
        <f t="shared" ref="B43:AY43" ca="1" si="14">IF(LOWER(INDEX(INDIRECT($P$71&amp;"_Played"),B18))="x",1,0)</f>
        <v>0</v>
      </c>
      <c r="C43">
        <f t="shared" ca="1" si="14"/>
        <v>0</v>
      </c>
      <c r="D43">
        <f t="shared" ca="1" si="14"/>
        <v>0</v>
      </c>
      <c r="E43">
        <f t="shared" ca="1" si="14"/>
        <v>0</v>
      </c>
      <c r="F43">
        <f t="shared" ca="1" si="14"/>
        <v>0</v>
      </c>
      <c r="G43">
        <f t="shared" ca="1" si="14"/>
        <v>0</v>
      </c>
      <c r="H43">
        <f t="shared" ca="1" si="14"/>
        <v>0</v>
      </c>
      <c r="I43">
        <f t="shared" ca="1" si="14"/>
        <v>0</v>
      </c>
      <c r="J43">
        <f t="shared" ca="1" si="14"/>
        <v>0</v>
      </c>
      <c r="K43">
        <f t="shared" ca="1" si="14"/>
        <v>0</v>
      </c>
      <c r="L43">
        <f t="shared" ca="1" si="14"/>
        <v>0</v>
      </c>
      <c r="M43">
        <f t="shared" ca="1" si="14"/>
        <v>0</v>
      </c>
      <c r="N43">
        <f t="shared" ca="1" si="14"/>
        <v>0</v>
      </c>
      <c r="O43">
        <f t="shared" ca="1" si="14"/>
        <v>0</v>
      </c>
      <c r="P43">
        <f t="shared" ca="1" si="14"/>
        <v>0</v>
      </c>
      <c r="Q43">
        <f t="shared" ca="1" si="14"/>
        <v>0</v>
      </c>
      <c r="R43">
        <f t="shared" ca="1" si="14"/>
        <v>0</v>
      </c>
      <c r="S43">
        <f t="shared" ca="1" si="14"/>
        <v>0</v>
      </c>
      <c r="T43">
        <f t="shared" ca="1" si="14"/>
        <v>0</v>
      </c>
      <c r="U43">
        <f t="shared" ca="1" si="14"/>
        <v>0</v>
      </c>
      <c r="V43">
        <f t="shared" ca="1" si="14"/>
        <v>0</v>
      </c>
      <c r="W43">
        <f t="shared" ca="1" si="14"/>
        <v>0</v>
      </c>
      <c r="X43">
        <f t="shared" ca="1" si="14"/>
        <v>0</v>
      </c>
      <c r="Y43">
        <f t="shared" ca="1" si="14"/>
        <v>0</v>
      </c>
      <c r="Z43">
        <f t="shared" ca="1" si="14"/>
        <v>0</v>
      </c>
      <c r="AA43">
        <f t="shared" ca="1" si="14"/>
        <v>0</v>
      </c>
      <c r="AB43">
        <f t="shared" ca="1" si="14"/>
        <v>0</v>
      </c>
      <c r="AC43">
        <f t="shared" ca="1" si="14"/>
        <v>0</v>
      </c>
      <c r="AD43">
        <f t="shared" ca="1" si="14"/>
        <v>0</v>
      </c>
      <c r="AE43">
        <f t="shared" ca="1" si="14"/>
        <v>0</v>
      </c>
      <c r="AF43">
        <f t="shared" ca="1" si="14"/>
        <v>0</v>
      </c>
      <c r="AG43">
        <f t="shared" ca="1" si="14"/>
        <v>0</v>
      </c>
      <c r="AH43">
        <f t="shared" ca="1" si="14"/>
        <v>0</v>
      </c>
      <c r="AI43">
        <f t="shared" ca="1" si="14"/>
        <v>0</v>
      </c>
      <c r="AJ43">
        <f t="shared" ca="1" si="14"/>
        <v>0</v>
      </c>
      <c r="AK43">
        <f t="shared" ca="1" si="14"/>
        <v>0</v>
      </c>
      <c r="AL43">
        <f t="shared" ca="1" si="14"/>
        <v>0</v>
      </c>
      <c r="AM43">
        <f t="shared" ca="1" si="14"/>
        <v>0</v>
      </c>
      <c r="AN43">
        <f t="shared" ca="1" si="14"/>
        <v>0</v>
      </c>
      <c r="AO43">
        <f t="shared" ca="1" si="14"/>
        <v>0</v>
      </c>
      <c r="AP43">
        <f t="shared" ca="1" si="14"/>
        <v>0</v>
      </c>
      <c r="AQ43">
        <f t="shared" ca="1" si="14"/>
        <v>0</v>
      </c>
      <c r="AR43">
        <f t="shared" ca="1" si="14"/>
        <v>0</v>
      </c>
      <c r="AS43">
        <f t="shared" ca="1" si="14"/>
        <v>0</v>
      </c>
      <c r="AT43">
        <f t="shared" ca="1" si="14"/>
        <v>0</v>
      </c>
      <c r="AU43">
        <f t="shared" ca="1" si="14"/>
        <v>0</v>
      </c>
      <c r="AV43">
        <f t="shared" ca="1" si="14"/>
        <v>0</v>
      </c>
      <c r="AW43">
        <f t="shared" ca="1" si="14"/>
        <v>0</v>
      </c>
      <c r="AX43">
        <f t="shared" ca="1" si="14"/>
        <v>0</v>
      </c>
      <c r="AY43">
        <f t="shared" ca="1" si="14"/>
        <v>0</v>
      </c>
    </row>
    <row r="44" spans="1:51" x14ac:dyDescent="0.25">
      <c r="A44" s="13">
        <v>15</v>
      </c>
      <c r="B44">
        <f t="shared" ref="B44:AY44" ca="1" si="15">IF(LOWER(INDEX(INDIRECT($P$71&amp;"_Played"),B19))="x",1,0)</f>
        <v>0</v>
      </c>
      <c r="C44">
        <f t="shared" ca="1" si="15"/>
        <v>0</v>
      </c>
      <c r="D44">
        <f t="shared" ca="1" si="15"/>
        <v>0</v>
      </c>
      <c r="E44">
        <f t="shared" ca="1" si="15"/>
        <v>0</v>
      </c>
      <c r="F44">
        <f t="shared" ca="1" si="15"/>
        <v>0</v>
      </c>
      <c r="G44">
        <f t="shared" ca="1" si="15"/>
        <v>0</v>
      </c>
      <c r="H44">
        <f t="shared" ca="1" si="15"/>
        <v>0</v>
      </c>
      <c r="I44">
        <f t="shared" ca="1" si="15"/>
        <v>0</v>
      </c>
      <c r="J44">
        <f t="shared" ca="1" si="15"/>
        <v>0</v>
      </c>
      <c r="K44">
        <f t="shared" ca="1" si="15"/>
        <v>0</v>
      </c>
      <c r="L44">
        <f t="shared" ca="1" si="15"/>
        <v>0</v>
      </c>
      <c r="M44">
        <f t="shared" ca="1" si="15"/>
        <v>0</v>
      </c>
      <c r="N44">
        <f t="shared" ca="1" si="15"/>
        <v>0</v>
      </c>
      <c r="O44">
        <f t="shared" ca="1" si="15"/>
        <v>0</v>
      </c>
      <c r="P44">
        <f t="shared" ca="1" si="15"/>
        <v>0</v>
      </c>
      <c r="Q44">
        <f t="shared" ca="1" si="15"/>
        <v>0</v>
      </c>
      <c r="R44">
        <f t="shared" ca="1" si="15"/>
        <v>0</v>
      </c>
      <c r="S44">
        <f t="shared" ca="1" si="15"/>
        <v>0</v>
      </c>
      <c r="T44">
        <f t="shared" ca="1" si="15"/>
        <v>0</v>
      </c>
      <c r="U44">
        <f t="shared" ca="1" si="15"/>
        <v>0</v>
      </c>
      <c r="V44">
        <f t="shared" ca="1" si="15"/>
        <v>0</v>
      </c>
      <c r="W44">
        <f t="shared" ca="1" si="15"/>
        <v>0</v>
      </c>
      <c r="X44">
        <f t="shared" ca="1" si="15"/>
        <v>0</v>
      </c>
      <c r="Y44">
        <f t="shared" ca="1" si="15"/>
        <v>0</v>
      </c>
      <c r="Z44">
        <f t="shared" ca="1" si="15"/>
        <v>0</v>
      </c>
      <c r="AA44">
        <f t="shared" ca="1" si="15"/>
        <v>0</v>
      </c>
      <c r="AB44">
        <f t="shared" ca="1" si="15"/>
        <v>0</v>
      </c>
      <c r="AC44">
        <f t="shared" ca="1" si="15"/>
        <v>0</v>
      </c>
      <c r="AD44">
        <f t="shared" ca="1" si="15"/>
        <v>0</v>
      </c>
      <c r="AE44">
        <f t="shared" ca="1" si="15"/>
        <v>0</v>
      </c>
      <c r="AF44">
        <f t="shared" ca="1" si="15"/>
        <v>0</v>
      </c>
      <c r="AG44">
        <f t="shared" ca="1" si="15"/>
        <v>0</v>
      </c>
      <c r="AH44">
        <f t="shared" ca="1" si="15"/>
        <v>0</v>
      </c>
      <c r="AI44">
        <f t="shared" ca="1" si="15"/>
        <v>0</v>
      </c>
      <c r="AJ44">
        <f t="shared" ca="1" si="15"/>
        <v>0</v>
      </c>
      <c r="AK44">
        <f t="shared" ca="1" si="15"/>
        <v>0</v>
      </c>
      <c r="AL44">
        <f t="shared" ca="1" si="15"/>
        <v>0</v>
      </c>
      <c r="AM44">
        <f t="shared" ca="1" si="15"/>
        <v>0</v>
      </c>
      <c r="AN44">
        <f t="shared" ca="1" si="15"/>
        <v>0</v>
      </c>
      <c r="AO44">
        <f t="shared" ca="1" si="15"/>
        <v>0</v>
      </c>
      <c r="AP44">
        <f t="shared" ca="1" si="15"/>
        <v>0</v>
      </c>
      <c r="AQ44">
        <f t="shared" ca="1" si="15"/>
        <v>0</v>
      </c>
      <c r="AR44">
        <f t="shared" ca="1" si="15"/>
        <v>0</v>
      </c>
      <c r="AS44">
        <f t="shared" ca="1" si="15"/>
        <v>0</v>
      </c>
      <c r="AT44">
        <f t="shared" ca="1" si="15"/>
        <v>0</v>
      </c>
      <c r="AU44">
        <f t="shared" ca="1" si="15"/>
        <v>0</v>
      </c>
      <c r="AV44">
        <f t="shared" ca="1" si="15"/>
        <v>0</v>
      </c>
      <c r="AW44">
        <f t="shared" ca="1" si="15"/>
        <v>0</v>
      </c>
      <c r="AX44">
        <f t="shared" ca="1" si="15"/>
        <v>0</v>
      </c>
      <c r="AY44">
        <f t="shared" ca="1" si="15"/>
        <v>0</v>
      </c>
    </row>
    <row r="45" spans="1:51" x14ac:dyDescent="0.25">
      <c r="A45" s="13">
        <v>16</v>
      </c>
      <c r="B45">
        <f t="shared" ref="B45:AY45" ca="1" si="16">IF(LOWER(INDEX(INDIRECT($P$71&amp;"_Played"),B20))="x",1,0)</f>
        <v>0</v>
      </c>
      <c r="C45">
        <f t="shared" ca="1" si="16"/>
        <v>0</v>
      </c>
      <c r="D45">
        <f t="shared" ca="1" si="16"/>
        <v>0</v>
      </c>
      <c r="E45">
        <f t="shared" ca="1" si="16"/>
        <v>0</v>
      </c>
      <c r="F45">
        <f t="shared" ca="1" si="16"/>
        <v>0</v>
      </c>
      <c r="G45">
        <f t="shared" ca="1" si="16"/>
        <v>0</v>
      </c>
      <c r="H45">
        <f t="shared" ca="1" si="16"/>
        <v>0</v>
      </c>
      <c r="I45">
        <f t="shared" ca="1" si="16"/>
        <v>0</v>
      </c>
      <c r="J45">
        <f t="shared" ca="1" si="16"/>
        <v>0</v>
      </c>
      <c r="K45">
        <f t="shared" ca="1" si="16"/>
        <v>0</v>
      </c>
      <c r="L45">
        <f t="shared" ca="1" si="16"/>
        <v>0</v>
      </c>
      <c r="M45">
        <f t="shared" ca="1" si="16"/>
        <v>0</v>
      </c>
      <c r="N45">
        <f t="shared" ca="1" si="16"/>
        <v>0</v>
      </c>
      <c r="O45">
        <f t="shared" ca="1" si="16"/>
        <v>0</v>
      </c>
      <c r="P45">
        <f t="shared" ca="1" si="16"/>
        <v>0</v>
      </c>
      <c r="Q45">
        <f t="shared" ca="1" si="16"/>
        <v>0</v>
      </c>
      <c r="R45">
        <f t="shared" ca="1" si="16"/>
        <v>0</v>
      </c>
      <c r="S45">
        <f t="shared" ca="1" si="16"/>
        <v>0</v>
      </c>
      <c r="T45">
        <f t="shared" ca="1" si="16"/>
        <v>0</v>
      </c>
      <c r="U45">
        <f t="shared" ca="1" si="16"/>
        <v>0</v>
      </c>
      <c r="V45">
        <f t="shared" ca="1" si="16"/>
        <v>0</v>
      </c>
      <c r="W45">
        <f t="shared" ca="1" si="16"/>
        <v>0</v>
      </c>
      <c r="X45">
        <f t="shared" ca="1" si="16"/>
        <v>0</v>
      </c>
      <c r="Y45">
        <f t="shared" ca="1" si="16"/>
        <v>0</v>
      </c>
      <c r="Z45">
        <f t="shared" ca="1" si="16"/>
        <v>0</v>
      </c>
      <c r="AA45">
        <f t="shared" ca="1" si="16"/>
        <v>0</v>
      </c>
      <c r="AB45">
        <f t="shared" ca="1" si="16"/>
        <v>0</v>
      </c>
      <c r="AC45">
        <f t="shared" ca="1" si="16"/>
        <v>0</v>
      </c>
      <c r="AD45">
        <f t="shared" ca="1" si="16"/>
        <v>0</v>
      </c>
      <c r="AE45">
        <f t="shared" ca="1" si="16"/>
        <v>0</v>
      </c>
      <c r="AF45">
        <f t="shared" ca="1" si="16"/>
        <v>0</v>
      </c>
      <c r="AG45">
        <f t="shared" ca="1" si="16"/>
        <v>0</v>
      </c>
      <c r="AH45">
        <f t="shared" ca="1" si="16"/>
        <v>0</v>
      </c>
      <c r="AI45">
        <f t="shared" ca="1" si="16"/>
        <v>0</v>
      </c>
      <c r="AJ45">
        <f t="shared" ca="1" si="16"/>
        <v>0</v>
      </c>
      <c r="AK45">
        <f t="shared" ca="1" si="16"/>
        <v>0</v>
      </c>
      <c r="AL45">
        <f t="shared" ca="1" si="16"/>
        <v>0</v>
      </c>
      <c r="AM45">
        <f t="shared" ca="1" si="16"/>
        <v>0</v>
      </c>
      <c r="AN45">
        <f t="shared" ca="1" si="16"/>
        <v>0</v>
      </c>
      <c r="AO45">
        <f t="shared" ca="1" si="16"/>
        <v>0</v>
      </c>
      <c r="AP45">
        <f t="shared" ca="1" si="16"/>
        <v>0</v>
      </c>
      <c r="AQ45">
        <f t="shared" ca="1" si="16"/>
        <v>0</v>
      </c>
      <c r="AR45">
        <f t="shared" ca="1" si="16"/>
        <v>0</v>
      </c>
      <c r="AS45">
        <f t="shared" ca="1" si="16"/>
        <v>0</v>
      </c>
      <c r="AT45">
        <f t="shared" ca="1" si="16"/>
        <v>0</v>
      </c>
      <c r="AU45">
        <f t="shared" ca="1" si="16"/>
        <v>0</v>
      </c>
      <c r="AV45">
        <f t="shared" ca="1" si="16"/>
        <v>0</v>
      </c>
      <c r="AW45">
        <f t="shared" ca="1" si="16"/>
        <v>0</v>
      </c>
      <c r="AX45">
        <f t="shared" ca="1" si="16"/>
        <v>0</v>
      </c>
      <c r="AY45">
        <f t="shared" ca="1" si="16"/>
        <v>0</v>
      </c>
    </row>
    <row r="46" spans="1:51" x14ac:dyDescent="0.25">
      <c r="A46" s="13">
        <v>17</v>
      </c>
      <c r="B46">
        <f t="shared" ref="B46:AY46" ca="1" si="17">IF(LOWER(INDEX(INDIRECT($P$71&amp;"_Played"),B21))="x",1,0)</f>
        <v>0</v>
      </c>
      <c r="C46">
        <f t="shared" ca="1" si="17"/>
        <v>0</v>
      </c>
      <c r="D46">
        <f t="shared" ca="1" si="17"/>
        <v>0</v>
      </c>
      <c r="E46">
        <f t="shared" ca="1" si="17"/>
        <v>0</v>
      </c>
      <c r="F46">
        <f t="shared" ca="1" si="17"/>
        <v>0</v>
      </c>
      <c r="G46">
        <f t="shared" ca="1" si="17"/>
        <v>0</v>
      </c>
      <c r="H46">
        <f t="shared" ca="1" si="17"/>
        <v>0</v>
      </c>
      <c r="I46">
        <f t="shared" ca="1" si="17"/>
        <v>0</v>
      </c>
      <c r="J46">
        <f t="shared" ca="1" si="17"/>
        <v>0</v>
      </c>
      <c r="K46">
        <f t="shared" ca="1" si="17"/>
        <v>0</v>
      </c>
      <c r="L46">
        <f t="shared" ca="1" si="17"/>
        <v>0</v>
      </c>
      <c r="M46">
        <f t="shared" ca="1" si="17"/>
        <v>0</v>
      </c>
      <c r="N46">
        <f t="shared" ca="1" si="17"/>
        <v>0</v>
      </c>
      <c r="O46">
        <f t="shared" ca="1" si="17"/>
        <v>0</v>
      </c>
      <c r="P46">
        <f t="shared" ca="1" si="17"/>
        <v>0</v>
      </c>
      <c r="Q46">
        <f t="shared" ca="1" si="17"/>
        <v>0</v>
      </c>
      <c r="R46">
        <f t="shared" ca="1" si="17"/>
        <v>0</v>
      </c>
      <c r="S46">
        <f t="shared" ca="1" si="17"/>
        <v>0</v>
      </c>
      <c r="T46">
        <f t="shared" ca="1" si="17"/>
        <v>0</v>
      </c>
      <c r="U46">
        <f t="shared" ca="1" si="17"/>
        <v>0</v>
      </c>
      <c r="V46">
        <f t="shared" ca="1" si="17"/>
        <v>0</v>
      </c>
      <c r="W46">
        <f t="shared" ca="1" si="17"/>
        <v>0</v>
      </c>
      <c r="X46">
        <f t="shared" ca="1" si="17"/>
        <v>0</v>
      </c>
      <c r="Y46">
        <f t="shared" ca="1" si="17"/>
        <v>0</v>
      </c>
      <c r="Z46">
        <f t="shared" ca="1" si="17"/>
        <v>0</v>
      </c>
      <c r="AA46">
        <f t="shared" ca="1" si="17"/>
        <v>0</v>
      </c>
      <c r="AB46">
        <f t="shared" ca="1" si="17"/>
        <v>0</v>
      </c>
      <c r="AC46">
        <f t="shared" ca="1" si="17"/>
        <v>0</v>
      </c>
      <c r="AD46">
        <f t="shared" ca="1" si="17"/>
        <v>0</v>
      </c>
      <c r="AE46">
        <f t="shared" ca="1" si="17"/>
        <v>0</v>
      </c>
      <c r="AF46">
        <f t="shared" ca="1" si="17"/>
        <v>0</v>
      </c>
      <c r="AG46">
        <f t="shared" ca="1" si="17"/>
        <v>0</v>
      </c>
      <c r="AH46">
        <f t="shared" ca="1" si="17"/>
        <v>0</v>
      </c>
      <c r="AI46">
        <f t="shared" ca="1" si="17"/>
        <v>0</v>
      </c>
      <c r="AJ46">
        <f t="shared" ca="1" si="17"/>
        <v>0</v>
      </c>
      <c r="AK46">
        <f t="shared" ca="1" si="17"/>
        <v>0</v>
      </c>
      <c r="AL46">
        <f t="shared" ca="1" si="17"/>
        <v>0</v>
      </c>
      <c r="AM46">
        <f t="shared" ca="1" si="17"/>
        <v>0</v>
      </c>
      <c r="AN46">
        <f t="shared" ca="1" si="17"/>
        <v>0</v>
      </c>
      <c r="AO46">
        <f t="shared" ca="1" si="17"/>
        <v>0</v>
      </c>
      <c r="AP46">
        <f t="shared" ca="1" si="17"/>
        <v>0</v>
      </c>
      <c r="AQ46">
        <f t="shared" ca="1" si="17"/>
        <v>0</v>
      </c>
      <c r="AR46">
        <f t="shared" ca="1" si="17"/>
        <v>0</v>
      </c>
      <c r="AS46">
        <f t="shared" ca="1" si="17"/>
        <v>0</v>
      </c>
      <c r="AT46">
        <f t="shared" ca="1" si="17"/>
        <v>0</v>
      </c>
      <c r="AU46">
        <f t="shared" ca="1" si="17"/>
        <v>0</v>
      </c>
      <c r="AV46">
        <f t="shared" ca="1" si="17"/>
        <v>0</v>
      </c>
      <c r="AW46">
        <f t="shared" ca="1" si="17"/>
        <v>0</v>
      </c>
      <c r="AX46">
        <f t="shared" ca="1" si="17"/>
        <v>0</v>
      </c>
      <c r="AY46">
        <f t="shared" ca="1" si="17"/>
        <v>0</v>
      </c>
    </row>
    <row r="47" spans="1:51" x14ac:dyDescent="0.25">
      <c r="A47" s="13">
        <v>18</v>
      </c>
      <c r="B47">
        <f t="shared" ref="B47:AY47" ca="1" si="18">IF(LOWER(INDEX(INDIRECT($P$71&amp;"_Played"),B22))="x",1,0)</f>
        <v>0</v>
      </c>
      <c r="C47">
        <f t="shared" ca="1" si="18"/>
        <v>0</v>
      </c>
      <c r="D47">
        <f t="shared" ca="1" si="18"/>
        <v>0</v>
      </c>
      <c r="E47">
        <f t="shared" ca="1" si="18"/>
        <v>0</v>
      </c>
      <c r="F47">
        <f t="shared" ca="1" si="18"/>
        <v>0</v>
      </c>
      <c r="G47">
        <f t="shared" ca="1" si="18"/>
        <v>0</v>
      </c>
      <c r="H47">
        <f t="shared" ca="1" si="18"/>
        <v>0</v>
      </c>
      <c r="I47">
        <f t="shared" ca="1" si="18"/>
        <v>0</v>
      </c>
      <c r="J47">
        <f t="shared" ca="1" si="18"/>
        <v>0</v>
      </c>
      <c r="K47">
        <f t="shared" ca="1" si="18"/>
        <v>0</v>
      </c>
      <c r="L47">
        <f t="shared" ca="1" si="18"/>
        <v>0</v>
      </c>
      <c r="M47">
        <f t="shared" ca="1" si="18"/>
        <v>0</v>
      </c>
      <c r="N47">
        <f t="shared" ca="1" si="18"/>
        <v>0</v>
      </c>
      <c r="O47">
        <f t="shared" ca="1" si="18"/>
        <v>0</v>
      </c>
      <c r="P47">
        <f t="shared" ca="1" si="18"/>
        <v>0</v>
      </c>
      <c r="Q47">
        <f t="shared" ca="1" si="18"/>
        <v>0</v>
      </c>
      <c r="R47">
        <f t="shared" ca="1" si="18"/>
        <v>0</v>
      </c>
      <c r="S47">
        <f t="shared" ca="1" si="18"/>
        <v>0</v>
      </c>
      <c r="T47">
        <f t="shared" ca="1" si="18"/>
        <v>0</v>
      </c>
      <c r="U47">
        <f t="shared" ca="1" si="18"/>
        <v>0</v>
      </c>
      <c r="V47">
        <f t="shared" ca="1" si="18"/>
        <v>0</v>
      </c>
      <c r="W47">
        <f t="shared" ca="1" si="18"/>
        <v>0</v>
      </c>
      <c r="X47">
        <f t="shared" ca="1" si="18"/>
        <v>0</v>
      </c>
      <c r="Y47">
        <f t="shared" ca="1" si="18"/>
        <v>0</v>
      </c>
      <c r="Z47">
        <f t="shared" ca="1" si="18"/>
        <v>0</v>
      </c>
      <c r="AA47">
        <f t="shared" ca="1" si="18"/>
        <v>0</v>
      </c>
      <c r="AB47">
        <f t="shared" ca="1" si="18"/>
        <v>0</v>
      </c>
      <c r="AC47">
        <f t="shared" ca="1" si="18"/>
        <v>0</v>
      </c>
      <c r="AD47">
        <f t="shared" ca="1" si="18"/>
        <v>0</v>
      </c>
      <c r="AE47">
        <f t="shared" ca="1" si="18"/>
        <v>0</v>
      </c>
      <c r="AF47">
        <f t="shared" ca="1" si="18"/>
        <v>0</v>
      </c>
      <c r="AG47">
        <f t="shared" ca="1" si="18"/>
        <v>0</v>
      </c>
      <c r="AH47">
        <f t="shared" ca="1" si="18"/>
        <v>0</v>
      </c>
      <c r="AI47">
        <f t="shared" ca="1" si="18"/>
        <v>0</v>
      </c>
      <c r="AJ47">
        <f t="shared" ca="1" si="18"/>
        <v>0</v>
      </c>
      <c r="AK47">
        <f t="shared" ca="1" si="18"/>
        <v>0</v>
      </c>
      <c r="AL47">
        <f t="shared" ca="1" si="18"/>
        <v>0</v>
      </c>
      <c r="AM47">
        <f t="shared" ca="1" si="18"/>
        <v>0</v>
      </c>
      <c r="AN47">
        <f t="shared" ca="1" si="18"/>
        <v>0</v>
      </c>
      <c r="AO47">
        <f t="shared" ca="1" si="18"/>
        <v>0</v>
      </c>
      <c r="AP47">
        <f t="shared" ca="1" si="18"/>
        <v>0</v>
      </c>
      <c r="AQ47">
        <f t="shared" ca="1" si="18"/>
        <v>0</v>
      </c>
      <c r="AR47">
        <f t="shared" ca="1" si="18"/>
        <v>0</v>
      </c>
      <c r="AS47">
        <f t="shared" ca="1" si="18"/>
        <v>0</v>
      </c>
      <c r="AT47">
        <f t="shared" ca="1" si="18"/>
        <v>0</v>
      </c>
      <c r="AU47">
        <f t="shared" ca="1" si="18"/>
        <v>0</v>
      </c>
      <c r="AV47">
        <f t="shared" ca="1" si="18"/>
        <v>0</v>
      </c>
      <c r="AW47">
        <f t="shared" ca="1" si="18"/>
        <v>0</v>
      </c>
      <c r="AX47">
        <f t="shared" ca="1" si="18"/>
        <v>0</v>
      </c>
      <c r="AY47">
        <f t="shared" ca="1" si="18"/>
        <v>0</v>
      </c>
    </row>
    <row r="48" spans="1:51" x14ac:dyDescent="0.25">
      <c r="A48" s="13">
        <v>19</v>
      </c>
      <c r="B48">
        <f t="shared" ref="B48:AY48" ca="1" si="19">IF(LOWER(INDEX(INDIRECT($P$71&amp;"_Played"),B23))="x",1,0)</f>
        <v>0</v>
      </c>
      <c r="C48">
        <f t="shared" ca="1" si="19"/>
        <v>0</v>
      </c>
      <c r="D48">
        <f t="shared" ca="1" si="19"/>
        <v>0</v>
      </c>
      <c r="E48">
        <f t="shared" ca="1" si="19"/>
        <v>0</v>
      </c>
      <c r="F48">
        <f t="shared" ca="1" si="19"/>
        <v>0</v>
      </c>
      <c r="G48">
        <f t="shared" ca="1" si="19"/>
        <v>0</v>
      </c>
      <c r="H48">
        <f t="shared" ca="1" si="19"/>
        <v>0</v>
      </c>
      <c r="I48">
        <f t="shared" ca="1" si="19"/>
        <v>0</v>
      </c>
      <c r="J48">
        <f t="shared" ca="1" si="19"/>
        <v>0</v>
      </c>
      <c r="K48">
        <f t="shared" ca="1" si="19"/>
        <v>0</v>
      </c>
      <c r="L48">
        <f t="shared" ca="1" si="19"/>
        <v>0</v>
      </c>
      <c r="M48">
        <f t="shared" ca="1" si="19"/>
        <v>0</v>
      </c>
      <c r="N48">
        <f t="shared" ca="1" si="19"/>
        <v>0</v>
      </c>
      <c r="O48">
        <f t="shared" ca="1" si="19"/>
        <v>0</v>
      </c>
      <c r="P48">
        <f t="shared" ca="1" si="19"/>
        <v>0</v>
      </c>
      <c r="Q48">
        <f t="shared" ca="1" si="19"/>
        <v>0</v>
      </c>
      <c r="R48">
        <f t="shared" ca="1" si="19"/>
        <v>0</v>
      </c>
      <c r="S48">
        <f t="shared" ca="1" si="19"/>
        <v>0</v>
      </c>
      <c r="T48">
        <f t="shared" ca="1" si="19"/>
        <v>0</v>
      </c>
      <c r="U48">
        <f t="shared" ca="1" si="19"/>
        <v>0</v>
      </c>
      <c r="V48">
        <f t="shared" ca="1" si="19"/>
        <v>0</v>
      </c>
      <c r="W48">
        <f t="shared" ca="1" si="19"/>
        <v>0</v>
      </c>
      <c r="X48">
        <f t="shared" ca="1" si="19"/>
        <v>0</v>
      </c>
      <c r="Y48">
        <f t="shared" ca="1" si="19"/>
        <v>0</v>
      </c>
      <c r="Z48">
        <f t="shared" ca="1" si="19"/>
        <v>0</v>
      </c>
      <c r="AA48">
        <f t="shared" ca="1" si="19"/>
        <v>0</v>
      </c>
      <c r="AB48">
        <f t="shared" ca="1" si="19"/>
        <v>0</v>
      </c>
      <c r="AC48">
        <f t="shared" ca="1" si="19"/>
        <v>0</v>
      </c>
      <c r="AD48">
        <f t="shared" ca="1" si="19"/>
        <v>0</v>
      </c>
      <c r="AE48">
        <f t="shared" ca="1" si="19"/>
        <v>0</v>
      </c>
      <c r="AF48">
        <f t="shared" ca="1" si="19"/>
        <v>0</v>
      </c>
      <c r="AG48">
        <f t="shared" ca="1" si="19"/>
        <v>0</v>
      </c>
      <c r="AH48">
        <f t="shared" ca="1" si="19"/>
        <v>0</v>
      </c>
      <c r="AI48">
        <f t="shared" ca="1" si="19"/>
        <v>0</v>
      </c>
      <c r="AJ48">
        <f t="shared" ca="1" si="19"/>
        <v>0</v>
      </c>
      <c r="AK48">
        <f t="shared" ca="1" si="19"/>
        <v>0</v>
      </c>
      <c r="AL48">
        <f t="shared" ca="1" si="19"/>
        <v>0</v>
      </c>
      <c r="AM48">
        <f t="shared" ca="1" si="19"/>
        <v>0</v>
      </c>
      <c r="AN48">
        <f t="shared" ca="1" si="19"/>
        <v>0</v>
      </c>
      <c r="AO48">
        <f t="shared" ca="1" si="19"/>
        <v>0</v>
      </c>
      <c r="AP48">
        <f t="shared" ca="1" si="19"/>
        <v>0</v>
      </c>
      <c r="AQ48">
        <f t="shared" ca="1" si="19"/>
        <v>0</v>
      </c>
      <c r="AR48">
        <f t="shared" ca="1" si="19"/>
        <v>0</v>
      </c>
      <c r="AS48">
        <f t="shared" ca="1" si="19"/>
        <v>0</v>
      </c>
      <c r="AT48">
        <f t="shared" ca="1" si="19"/>
        <v>0</v>
      </c>
      <c r="AU48">
        <f t="shared" ca="1" si="19"/>
        <v>0</v>
      </c>
      <c r="AV48">
        <f t="shared" ca="1" si="19"/>
        <v>0</v>
      </c>
      <c r="AW48">
        <f t="shared" ca="1" si="19"/>
        <v>0</v>
      </c>
      <c r="AX48">
        <f t="shared" ca="1" si="19"/>
        <v>0</v>
      </c>
      <c r="AY48">
        <f t="shared" ca="1" si="19"/>
        <v>0</v>
      </c>
    </row>
    <row r="49" spans="1:51" x14ac:dyDescent="0.25">
      <c r="A49" s="13">
        <v>20</v>
      </c>
      <c r="B49">
        <f t="shared" ref="B49:AY49" ca="1" si="20">IF(LOWER(INDEX(INDIRECT($P$71&amp;"_Played"),B24))="x",1,0)</f>
        <v>0</v>
      </c>
      <c r="C49">
        <f t="shared" ca="1" si="20"/>
        <v>0</v>
      </c>
      <c r="D49">
        <f t="shared" ca="1" si="20"/>
        <v>0</v>
      </c>
      <c r="E49">
        <f t="shared" ca="1" si="20"/>
        <v>0</v>
      </c>
      <c r="F49">
        <f t="shared" ca="1" si="20"/>
        <v>0</v>
      </c>
      <c r="G49">
        <f t="shared" ca="1" si="20"/>
        <v>0</v>
      </c>
      <c r="H49">
        <f t="shared" ca="1" si="20"/>
        <v>0</v>
      </c>
      <c r="I49">
        <f t="shared" ca="1" si="20"/>
        <v>0</v>
      </c>
      <c r="J49">
        <f t="shared" ca="1" si="20"/>
        <v>0</v>
      </c>
      <c r="K49">
        <f t="shared" ca="1" si="20"/>
        <v>0</v>
      </c>
      <c r="L49">
        <f t="shared" ca="1" si="20"/>
        <v>0</v>
      </c>
      <c r="M49">
        <f t="shared" ca="1" si="20"/>
        <v>0</v>
      </c>
      <c r="N49">
        <f t="shared" ca="1" si="20"/>
        <v>0</v>
      </c>
      <c r="O49">
        <f t="shared" ca="1" si="20"/>
        <v>0</v>
      </c>
      <c r="P49">
        <f t="shared" ca="1" si="20"/>
        <v>0</v>
      </c>
      <c r="Q49">
        <f t="shared" ca="1" si="20"/>
        <v>0</v>
      </c>
      <c r="R49">
        <f t="shared" ca="1" si="20"/>
        <v>0</v>
      </c>
      <c r="S49">
        <f t="shared" ca="1" si="20"/>
        <v>0</v>
      </c>
      <c r="T49">
        <f t="shared" ca="1" si="20"/>
        <v>0</v>
      </c>
      <c r="U49">
        <f t="shared" ca="1" si="20"/>
        <v>0</v>
      </c>
      <c r="V49">
        <f t="shared" ca="1" si="20"/>
        <v>0</v>
      </c>
      <c r="W49">
        <f t="shared" ca="1" si="20"/>
        <v>0</v>
      </c>
      <c r="X49">
        <f t="shared" ca="1" si="20"/>
        <v>0</v>
      </c>
      <c r="Y49">
        <f t="shared" ca="1" si="20"/>
        <v>0</v>
      </c>
      <c r="Z49">
        <f t="shared" ca="1" si="20"/>
        <v>0</v>
      </c>
      <c r="AA49">
        <f t="shared" ca="1" si="20"/>
        <v>0</v>
      </c>
      <c r="AB49">
        <f t="shared" ca="1" si="20"/>
        <v>0</v>
      </c>
      <c r="AC49">
        <f t="shared" ca="1" si="20"/>
        <v>0</v>
      </c>
      <c r="AD49">
        <f t="shared" ca="1" si="20"/>
        <v>0</v>
      </c>
      <c r="AE49">
        <f t="shared" ca="1" si="20"/>
        <v>0</v>
      </c>
      <c r="AF49">
        <f t="shared" ca="1" si="20"/>
        <v>0</v>
      </c>
      <c r="AG49">
        <f t="shared" ca="1" si="20"/>
        <v>0</v>
      </c>
      <c r="AH49">
        <f t="shared" ca="1" si="20"/>
        <v>0</v>
      </c>
      <c r="AI49">
        <f t="shared" ca="1" si="20"/>
        <v>0</v>
      </c>
      <c r="AJ49">
        <f t="shared" ca="1" si="20"/>
        <v>0</v>
      </c>
      <c r="AK49">
        <f t="shared" ca="1" si="20"/>
        <v>0</v>
      </c>
      <c r="AL49">
        <f t="shared" ca="1" si="20"/>
        <v>0</v>
      </c>
      <c r="AM49">
        <f t="shared" ca="1" si="20"/>
        <v>0</v>
      </c>
      <c r="AN49">
        <f t="shared" ca="1" si="20"/>
        <v>0</v>
      </c>
      <c r="AO49">
        <f t="shared" ca="1" si="20"/>
        <v>0</v>
      </c>
      <c r="AP49">
        <f t="shared" ca="1" si="20"/>
        <v>0</v>
      </c>
      <c r="AQ49">
        <f t="shared" ca="1" si="20"/>
        <v>0</v>
      </c>
      <c r="AR49">
        <f t="shared" ca="1" si="20"/>
        <v>0</v>
      </c>
      <c r="AS49">
        <f t="shared" ca="1" si="20"/>
        <v>0</v>
      </c>
      <c r="AT49">
        <f t="shared" ca="1" si="20"/>
        <v>0</v>
      </c>
      <c r="AU49">
        <f t="shared" ca="1" si="20"/>
        <v>0</v>
      </c>
      <c r="AV49">
        <f t="shared" ca="1" si="20"/>
        <v>0</v>
      </c>
      <c r="AW49">
        <f t="shared" ca="1" si="20"/>
        <v>0</v>
      </c>
      <c r="AX49">
        <f t="shared" ca="1" si="20"/>
        <v>0</v>
      </c>
      <c r="AY49">
        <f t="shared" ca="1" si="20"/>
        <v>0</v>
      </c>
    </row>
    <row r="50" spans="1:51" x14ac:dyDescent="0.25">
      <c r="A50" s="13">
        <v>21</v>
      </c>
      <c r="B50">
        <f t="shared" ref="B50:AY50" ca="1" si="21">IF(LOWER(INDEX(INDIRECT($P$71&amp;"_Played"),B25))="x",1,0)</f>
        <v>0</v>
      </c>
      <c r="C50">
        <f t="shared" ca="1" si="21"/>
        <v>0</v>
      </c>
      <c r="D50">
        <f t="shared" ca="1" si="21"/>
        <v>0</v>
      </c>
      <c r="E50">
        <f t="shared" ca="1" si="21"/>
        <v>0</v>
      </c>
      <c r="F50">
        <f t="shared" ca="1" si="21"/>
        <v>0</v>
      </c>
      <c r="G50">
        <f t="shared" ca="1" si="21"/>
        <v>0</v>
      </c>
      <c r="H50">
        <f t="shared" ca="1" si="21"/>
        <v>0</v>
      </c>
      <c r="I50">
        <f t="shared" ca="1" si="21"/>
        <v>0</v>
      </c>
      <c r="J50">
        <f t="shared" ca="1" si="21"/>
        <v>0</v>
      </c>
      <c r="K50">
        <f t="shared" ca="1" si="21"/>
        <v>0</v>
      </c>
      <c r="L50">
        <f t="shared" ca="1" si="21"/>
        <v>0</v>
      </c>
      <c r="M50">
        <f t="shared" ca="1" si="21"/>
        <v>0</v>
      </c>
      <c r="N50">
        <f t="shared" ca="1" si="21"/>
        <v>0</v>
      </c>
      <c r="O50">
        <f t="shared" ca="1" si="21"/>
        <v>0</v>
      </c>
      <c r="P50">
        <f t="shared" ca="1" si="21"/>
        <v>0</v>
      </c>
      <c r="Q50">
        <f t="shared" ca="1" si="21"/>
        <v>0</v>
      </c>
      <c r="R50">
        <f t="shared" ca="1" si="21"/>
        <v>0</v>
      </c>
      <c r="S50">
        <f t="shared" ca="1" si="21"/>
        <v>0</v>
      </c>
      <c r="T50">
        <f t="shared" ca="1" si="21"/>
        <v>0</v>
      </c>
      <c r="U50">
        <f t="shared" ca="1" si="21"/>
        <v>0</v>
      </c>
      <c r="V50">
        <f t="shared" ca="1" si="21"/>
        <v>0</v>
      </c>
      <c r="W50">
        <f t="shared" ca="1" si="21"/>
        <v>0</v>
      </c>
      <c r="X50">
        <f t="shared" ca="1" si="21"/>
        <v>0</v>
      </c>
      <c r="Y50">
        <f t="shared" ca="1" si="21"/>
        <v>0</v>
      </c>
      <c r="Z50">
        <f t="shared" ca="1" si="21"/>
        <v>0</v>
      </c>
      <c r="AA50">
        <f t="shared" ca="1" si="21"/>
        <v>0</v>
      </c>
      <c r="AB50">
        <f t="shared" ca="1" si="21"/>
        <v>0</v>
      </c>
      <c r="AC50">
        <f t="shared" ca="1" si="21"/>
        <v>0</v>
      </c>
      <c r="AD50">
        <f t="shared" ca="1" si="21"/>
        <v>0</v>
      </c>
      <c r="AE50">
        <f t="shared" ca="1" si="21"/>
        <v>0</v>
      </c>
      <c r="AF50">
        <f t="shared" ca="1" si="21"/>
        <v>0</v>
      </c>
      <c r="AG50">
        <f t="shared" ca="1" si="21"/>
        <v>0</v>
      </c>
      <c r="AH50">
        <f t="shared" ca="1" si="21"/>
        <v>0</v>
      </c>
      <c r="AI50">
        <f t="shared" ca="1" si="21"/>
        <v>0</v>
      </c>
      <c r="AJ50">
        <f t="shared" ca="1" si="21"/>
        <v>0</v>
      </c>
      <c r="AK50">
        <f t="shared" ca="1" si="21"/>
        <v>0</v>
      </c>
      <c r="AL50">
        <f t="shared" ca="1" si="21"/>
        <v>0</v>
      </c>
      <c r="AM50">
        <f t="shared" ca="1" si="21"/>
        <v>0</v>
      </c>
      <c r="AN50">
        <f t="shared" ca="1" si="21"/>
        <v>0</v>
      </c>
      <c r="AO50">
        <f t="shared" ca="1" si="21"/>
        <v>0</v>
      </c>
      <c r="AP50">
        <f t="shared" ca="1" si="21"/>
        <v>0</v>
      </c>
      <c r="AQ50">
        <f t="shared" ca="1" si="21"/>
        <v>0</v>
      </c>
      <c r="AR50">
        <f t="shared" ca="1" si="21"/>
        <v>0</v>
      </c>
      <c r="AS50">
        <f t="shared" ca="1" si="21"/>
        <v>0</v>
      </c>
      <c r="AT50">
        <f t="shared" ca="1" si="21"/>
        <v>0</v>
      </c>
      <c r="AU50">
        <f t="shared" ca="1" si="21"/>
        <v>0</v>
      </c>
      <c r="AV50">
        <f t="shared" ca="1" si="21"/>
        <v>0</v>
      </c>
      <c r="AW50">
        <f t="shared" ca="1" si="21"/>
        <v>0</v>
      </c>
      <c r="AX50">
        <f t="shared" ca="1" si="21"/>
        <v>0</v>
      </c>
      <c r="AY50">
        <f t="shared" ca="1" si="21"/>
        <v>0</v>
      </c>
    </row>
    <row r="51" spans="1:51" x14ac:dyDescent="0.25">
      <c r="A51" s="13">
        <v>22</v>
      </c>
      <c r="B51">
        <f t="shared" ref="B51:AY51" ca="1" si="22">IF(LOWER(INDEX(INDIRECT($P$71&amp;"_Played"),B26))="x",1,0)</f>
        <v>0</v>
      </c>
      <c r="C51">
        <f t="shared" ca="1" si="22"/>
        <v>0</v>
      </c>
      <c r="D51">
        <f t="shared" ca="1" si="22"/>
        <v>0</v>
      </c>
      <c r="E51">
        <f t="shared" ca="1" si="22"/>
        <v>0</v>
      </c>
      <c r="F51">
        <f t="shared" ca="1" si="22"/>
        <v>0</v>
      </c>
      <c r="G51">
        <f t="shared" ca="1" si="22"/>
        <v>0</v>
      </c>
      <c r="H51">
        <f t="shared" ca="1" si="22"/>
        <v>0</v>
      </c>
      <c r="I51">
        <f t="shared" ca="1" si="22"/>
        <v>0</v>
      </c>
      <c r="J51">
        <f t="shared" ca="1" si="22"/>
        <v>0</v>
      </c>
      <c r="K51">
        <f t="shared" ca="1" si="22"/>
        <v>0</v>
      </c>
      <c r="L51">
        <f t="shared" ca="1" si="22"/>
        <v>0</v>
      </c>
      <c r="M51">
        <f t="shared" ca="1" si="22"/>
        <v>0</v>
      </c>
      <c r="N51">
        <f t="shared" ca="1" si="22"/>
        <v>0</v>
      </c>
      <c r="O51">
        <f t="shared" ca="1" si="22"/>
        <v>0</v>
      </c>
      <c r="P51">
        <f t="shared" ca="1" si="22"/>
        <v>0</v>
      </c>
      <c r="Q51">
        <f t="shared" ca="1" si="22"/>
        <v>0</v>
      </c>
      <c r="R51">
        <f t="shared" ca="1" si="22"/>
        <v>0</v>
      </c>
      <c r="S51">
        <f t="shared" ca="1" si="22"/>
        <v>0</v>
      </c>
      <c r="T51">
        <f t="shared" ca="1" si="22"/>
        <v>0</v>
      </c>
      <c r="U51">
        <f t="shared" ca="1" si="22"/>
        <v>0</v>
      </c>
      <c r="V51">
        <f t="shared" ca="1" si="22"/>
        <v>0</v>
      </c>
      <c r="W51">
        <f t="shared" ca="1" si="22"/>
        <v>0</v>
      </c>
      <c r="X51">
        <f t="shared" ca="1" si="22"/>
        <v>0</v>
      </c>
      <c r="Y51">
        <f t="shared" ca="1" si="22"/>
        <v>0</v>
      </c>
      <c r="Z51">
        <f t="shared" ca="1" si="22"/>
        <v>0</v>
      </c>
      <c r="AA51">
        <f t="shared" ca="1" si="22"/>
        <v>0</v>
      </c>
      <c r="AB51">
        <f t="shared" ca="1" si="22"/>
        <v>0</v>
      </c>
      <c r="AC51">
        <f t="shared" ca="1" si="22"/>
        <v>0</v>
      </c>
      <c r="AD51">
        <f t="shared" ca="1" si="22"/>
        <v>0</v>
      </c>
      <c r="AE51">
        <f t="shared" ca="1" si="22"/>
        <v>0</v>
      </c>
      <c r="AF51">
        <f t="shared" ca="1" si="22"/>
        <v>0</v>
      </c>
      <c r="AG51">
        <f t="shared" ca="1" si="22"/>
        <v>0</v>
      </c>
      <c r="AH51">
        <f t="shared" ca="1" si="22"/>
        <v>0</v>
      </c>
      <c r="AI51">
        <f t="shared" ca="1" si="22"/>
        <v>0</v>
      </c>
      <c r="AJ51">
        <f t="shared" ca="1" si="22"/>
        <v>0</v>
      </c>
      <c r="AK51">
        <f t="shared" ca="1" si="22"/>
        <v>0</v>
      </c>
      <c r="AL51">
        <f t="shared" ca="1" si="22"/>
        <v>0</v>
      </c>
      <c r="AM51">
        <f t="shared" ca="1" si="22"/>
        <v>0</v>
      </c>
      <c r="AN51">
        <f t="shared" ca="1" si="22"/>
        <v>0</v>
      </c>
      <c r="AO51">
        <f t="shared" ca="1" si="22"/>
        <v>0</v>
      </c>
      <c r="AP51">
        <f t="shared" ca="1" si="22"/>
        <v>0</v>
      </c>
      <c r="AQ51">
        <f t="shared" ca="1" si="22"/>
        <v>0</v>
      </c>
      <c r="AR51">
        <f t="shared" ca="1" si="22"/>
        <v>0</v>
      </c>
      <c r="AS51">
        <f t="shared" ca="1" si="22"/>
        <v>0</v>
      </c>
      <c r="AT51">
        <f t="shared" ca="1" si="22"/>
        <v>0</v>
      </c>
      <c r="AU51">
        <f t="shared" ca="1" si="22"/>
        <v>0</v>
      </c>
      <c r="AV51">
        <f t="shared" ca="1" si="22"/>
        <v>0</v>
      </c>
      <c r="AW51">
        <f t="shared" ca="1" si="22"/>
        <v>0</v>
      </c>
      <c r="AX51">
        <f t="shared" ca="1" si="22"/>
        <v>0</v>
      </c>
      <c r="AY51">
        <f t="shared" ca="1" si="22"/>
        <v>0</v>
      </c>
    </row>
    <row r="52" spans="1:51" x14ac:dyDescent="0.25">
      <c r="A52" s="13">
        <v>23</v>
      </c>
      <c r="B52">
        <f t="shared" ref="B52:AY52" ca="1" si="23">IF(LOWER(INDEX(INDIRECT($P$71&amp;"_Played"),B27))="x",1,0)</f>
        <v>0</v>
      </c>
      <c r="C52">
        <f t="shared" ca="1" si="23"/>
        <v>0</v>
      </c>
      <c r="D52">
        <f t="shared" ca="1" si="23"/>
        <v>0</v>
      </c>
      <c r="E52">
        <f t="shared" ca="1" si="23"/>
        <v>0</v>
      </c>
      <c r="F52">
        <f t="shared" ca="1" si="23"/>
        <v>0</v>
      </c>
      <c r="G52">
        <f t="shared" ca="1" si="23"/>
        <v>0</v>
      </c>
      <c r="H52">
        <f t="shared" ca="1" si="23"/>
        <v>0</v>
      </c>
      <c r="I52">
        <f t="shared" ca="1" si="23"/>
        <v>0</v>
      </c>
      <c r="J52">
        <f t="shared" ca="1" si="23"/>
        <v>0</v>
      </c>
      <c r="K52">
        <f t="shared" ca="1" si="23"/>
        <v>0</v>
      </c>
      <c r="L52">
        <f t="shared" ca="1" si="23"/>
        <v>0</v>
      </c>
      <c r="M52">
        <f t="shared" ca="1" si="23"/>
        <v>0</v>
      </c>
      <c r="N52">
        <f t="shared" ca="1" si="23"/>
        <v>0</v>
      </c>
      <c r="O52">
        <f t="shared" ca="1" si="23"/>
        <v>0</v>
      </c>
      <c r="P52">
        <f t="shared" ca="1" si="23"/>
        <v>0</v>
      </c>
      <c r="Q52">
        <f t="shared" ca="1" si="23"/>
        <v>0</v>
      </c>
      <c r="R52">
        <f t="shared" ca="1" si="23"/>
        <v>0</v>
      </c>
      <c r="S52">
        <f t="shared" ca="1" si="23"/>
        <v>0</v>
      </c>
      <c r="T52">
        <f t="shared" ca="1" si="23"/>
        <v>0</v>
      </c>
      <c r="U52">
        <f t="shared" ca="1" si="23"/>
        <v>0</v>
      </c>
      <c r="V52">
        <f t="shared" ca="1" si="23"/>
        <v>0</v>
      </c>
      <c r="W52">
        <f t="shared" ca="1" si="23"/>
        <v>0</v>
      </c>
      <c r="X52">
        <f t="shared" ca="1" si="23"/>
        <v>0</v>
      </c>
      <c r="Y52">
        <f t="shared" ca="1" si="23"/>
        <v>0</v>
      </c>
      <c r="Z52">
        <f t="shared" ca="1" si="23"/>
        <v>0</v>
      </c>
      <c r="AA52">
        <f t="shared" ca="1" si="23"/>
        <v>0</v>
      </c>
      <c r="AB52">
        <f t="shared" ca="1" si="23"/>
        <v>0</v>
      </c>
      <c r="AC52">
        <f t="shared" ca="1" si="23"/>
        <v>0</v>
      </c>
      <c r="AD52">
        <f t="shared" ca="1" si="23"/>
        <v>0</v>
      </c>
      <c r="AE52">
        <f t="shared" ca="1" si="23"/>
        <v>0</v>
      </c>
      <c r="AF52">
        <f t="shared" ca="1" si="23"/>
        <v>0</v>
      </c>
      <c r="AG52">
        <f t="shared" ca="1" si="23"/>
        <v>0</v>
      </c>
      <c r="AH52">
        <f t="shared" ca="1" si="23"/>
        <v>0</v>
      </c>
      <c r="AI52">
        <f t="shared" ca="1" si="23"/>
        <v>0</v>
      </c>
      <c r="AJ52">
        <f t="shared" ca="1" si="23"/>
        <v>0</v>
      </c>
      <c r="AK52">
        <f t="shared" ca="1" si="23"/>
        <v>0</v>
      </c>
      <c r="AL52">
        <f t="shared" ca="1" si="23"/>
        <v>0</v>
      </c>
      <c r="AM52">
        <f t="shared" ca="1" si="23"/>
        <v>0</v>
      </c>
      <c r="AN52">
        <f t="shared" ca="1" si="23"/>
        <v>0</v>
      </c>
      <c r="AO52">
        <f t="shared" ca="1" si="23"/>
        <v>0</v>
      </c>
      <c r="AP52">
        <f t="shared" ca="1" si="23"/>
        <v>0</v>
      </c>
      <c r="AQ52">
        <f t="shared" ca="1" si="23"/>
        <v>0</v>
      </c>
      <c r="AR52">
        <f t="shared" ca="1" si="23"/>
        <v>0</v>
      </c>
      <c r="AS52">
        <f t="shared" ca="1" si="23"/>
        <v>0</v>
      </c>
      <c r="AT52">
        <f t="shared" ca="1" si="23"/>
        <v>0</v>
      </c>
      <c r="AU52">
        <f t="shared" ca="1" si="23"/>
        <v>0</v>
      </c>
      <c r="AV52">
        <f t="shared" ca="1" si="23"/>
        <v>0</v>
      </c>
      <c r="AW52">
        <f t="shared" ca="1" si="23"/>
        <v>0</v>
      </c>
      <c r="AX52">
        <f t="shared" ca="1" si="23"/>
        <v>0</v>
      </c>
      <c r="AY52">
        <f t="shared" ca="1" si="23"/>
        <v>0</v>
      </c>
    </row>
    <row r="53" spans="1:51" x14ac:dyDescent="0.25">
      <c r="A53" s="13">
        <v>24</v>
      </c>
      <c r="B53">
        <f t="shared" ref="B53:AY53" ca="1" si="24">IF(LOWER(INDEX(INDIRECT($P$71&amp;"_Played"),B28))="x",1,0)</f>
        <v>0</v>
      </c>
      <c r="C53">
        <f t="shared" ca="1" si="24"/>
        <v>0</v>
      </c>
      <c r="D53">
        <f t="shared" ca="1" si="24"/>
        <v>0</v>
      </c>
      <c r="E53">
        <f t="shared" ca="1" si="24"/>
        <v>0</v>
      </c>
      <c r="F53">
        <f t="shared" ca="1" si="24"/>
        <v>0</v>
      </c>
      <c r="G53">
        <f t="shared" ca="1" si="24"/>
        <v>0</v>
      </c>
      <c r="H53">
        <f t="shared" ca="1" si="24"/>
        <v>0</v>
      </c>
      <c r="I53">
        <f t="shared" ca="1" si="24"/>
        <v>0</v>
      </c>
      <c r="J53">
        <f t="shared" ca="1" si="24"/>
        <v>0</v>
      </c>
      <c r="K53">
        <f t="shared" ca="1" si="24"/>
        <v>0</v>
      </c>
      <c r="L53">
        <f t="shared" ca="1" si="24"/>
        <v>0</v>
      </c>
      <c r="M53">
        <f t="shared" ca="1" si="24"/>
        <v>0</v>
      </c>
      <c r="N53">
        <f t="shared" ca="1" si="24"/>
        <v>0</v>
      </c>
      <c r="O53">
        <f t="shared" ca="1" si="24"/>
        <v>0</v>
      </c>
      <c r="P53">
        <f t="shared" ca="1" si="24"/>
        <v>0</v>
      </c>
      <c r="Q53">
        <f t="shared" ca="1" si="24"/>
        <v>0</v>
      </c>
      <c r="R53">
        <f t="shared" ca="1" si="24"/>
        <v>0</v>
      </c>
      <c r="S53">
        <f t="shared" ca="1" si="24"/>
        <v>0</v>
      </c>
      <c r="T53">
        <f t="shared" ca="1" si="24"/>
        <v>0</v>
      </c>
      <c r="U53">
        <f t="shared" ca="1" si="24"/>
        <v>0</v>
      </c>
      <c r="V53">
        <f t="shared" ca="1" si="24"/>
        <v>0</v>
      </c>
      <c r="W53">
        <f t="shared" ca="1" si="24"/>
        <v>0</v>
      </c>
      <c r="X53">
        <f t="shared" ca="1" si="24"/>
        <v>0</v>
      </c>
      <c r="Y53">
        <f t="shared" ca="1" si="24"/>
        <v>0</v>
      </c>
      <c r="Z53">
        <f t="shared" ca="1" si="24"/>
        <v>0</v>
      </c>
      <c r="AA53">
        <f t="shared" ca="1" si="24"/>
        <v>0</v>
      </c>
      <c r="AB53">
        <f t="shared" ca="1" si="24"/>
        <v>0</v>
      </c>
      <c r="AC53">
        <f t="shared" ca="1" si="24"/>
        <v>0</v>
      </c>
      <c r="AD53">
        <f t="shared" ca="1" si="24"/>
        <v>0</v>
      </c>
      <c r="AE53">
        <f t="shared" ca="1" si="24"/>
        <v>0</v>
      </c>
      <c r="AF53">
        <f t="shared" ca="1" si="24"/>
        <v>0</v>
      </c>
      <c r="AG53">
        <f t="shared" ca="1" si="24"/>
        <v>0</v>
      </c>
      <c r="AH53">
        <f t="shared" ca="1" si="24"/>
        <v>0</v>
      </c>
      <c r="AI53">
        <f t="shared" ca="1" si="24"/>
        <v>0</v>
      </c>
      <c r="AJ53">
        <f t="shared" ca="1" si="24"/>
        <v>0</v>
      </c>
      <c r="AK53">
        <f t="shared" ca="1" si="24"/>
        <v>0</v>
      </c>
      <c r="AL53">
        <f t="shared" ca="1" si="24"/>
        <v>0</v>
      </c>
      <c r="AM53">
        <f t="shared" ca="1" si="24"/>
        <v>0</v>
      </c>
      <c r="AN53">
        <f t="shared" ca="1" si="24"/>
        <v>0</v>
      </c>
      <c r="AO53">
        <f t="shared" ca="1" si="24"/>
        <v>0</v>
      </c>
      <c r="AP53">
        <f t="shared" ca="1" si="24"/>
        <v>0</v>
      </c>
      <c r="AQ53">
        <f t="shared" ca="1" si="24"/>
        <v>0</v>
      </c>
      <c r="AR53">
        <f t="shared" ca="1" si="24"/>
        <v>0</v>
      </c>
      <c r="AS53">
        <f t="shared" ca="1" si="24"/>
        <v>0</v>
      </c>
      <c r="AT53">
        <f t="shared" ca="1" si="24"/>
        <v>0</v>
      </c>
      <c r="AU53">
        <f t="shared" ca="1" si="24"/>
        <v>0</v>
      </c>
      <c r="AV53">
        <f t="shared" ca="1" si="24"/>
        <v>0</v>
      </c>
      <c r="AW53">
        <f t="shared" ca="1" si="24"/>
        <v>0</v>
      </c>
      <c r="AX53">
        <f t="shared" ca="1" si="24"/>
        <v>0</v>
      </c>
      <c r="AY53">
        <f t="shared" ca="1" si="24"/>
        <v>0</v>
      </c>
    </row>
    <row r="54" spans="1:51" s="14" customFormat="1" ht="15.75" thickBot="1" x14ac:dyDescent="0.3">
      <c r="A54" s="15">
        <v>25</v>
      </c>
      <c r="B54" s="14">
        <f t="shared" ref="B54:AY54" ca="1" si="25">IF(LOWER(INDEX(INDIRECT($P$71&amp;"_Played"),B29))="x",1,0)</f>
        <v>0</v>
      </c>
      <c r="C54" s="14">
        <f t="shared" ca="1" si="25"/>
        <v>0</v>
      </c>
      <c r="D54" s="14">
        <f t="shared" ca="1" si="25"/>
        <v>0</v>
      </c>
      <c r="E54" s="14">
        <f t="shared" ca="1" si="25"/>
        <v>0</v>
      </c>
      <c r="F54" s="14">
        <f t="shared" ca="1" si="25"/>
        <v>0</v>
      </c>
      <c r="G54" s="14">
        <f t="shared" ca="1" si="25"/>
        <v>0</v>
      </c>
      <c r="H54" s="14">
        <f t="shared" ca="1" si="25"/>
        <v>0</v>
      </c>
      <c r="I54" s="14">
        <f t="shared" ca="1" si="25"/>
        <v>0</v>
      </c>
      <c r="J54" s="14">
        <f t="shared" ca="1" si="25"/>
        <v>0</v>
      </c>
      <c r="K54" s="14">
        <f t="shared" ca="1" si="25"/>
        <v>0</v>
      </c>
      <c r="L54" s="14">
        <f t="shared" ca="1" si="25"/>
        <v>0</v>
      </c>
      <c r="M54" s="14">
        <f t="shared" ca="1" si="25"/>
        <v>0</v>
      </c>
      <c r="N54" s="14">
        <f t="shared" ca="1" si="25"/>
        <v>0</v>
      </c>
      <c r="O54" s="14">
        <f t="shared" ca="1" si="25"/>
        <v>0</v>
      </c>
      <c r="P54" s="14">
        <f t="shared" ca="1" si="25"/>
        <v>0</v>
      </c>
      <c r="Q54" s="14">
        <f t="shared" ca="1" si="25"/>
        <v>0</v>
      </c>
      <c r="R54" s="14">
        <f t="shared" ca="1" si="25"/>
        <v>0</v>
      </c>
      <c r="S54" s="14">
        <f t="shared" ca="1" si="25"/>
        <v>0</v>
      </c>
      <c r="T54" s="14">
        <f t="shared" ca="1" si="25"/>
        <v>0</v>
      </c>
      <c r="U54" s="14">
        <f t="shared" ca="1" si="25"/>
        <v>0</v>
      </c>
      <c r="V54" s="14">
        <f t="shared" ca="1" si="25"/>
        <v>0</v>
      </c>
      <c r="W54" s="14">
        <f t="shared" ca="1" si="25"/>
        <v>0</v>
      </c>
      <c r="X54" s="14">
        <f t="shared" ca="1" si="25"/>
        <v>0</v>
      </c>
      <c r="Y54" s="14">
        <f t="shared" ca="1" si="25"/>
        <v>0</v>
      </c>
      <c r="Z54" s="14">
        <f t="shared" ca="1" si="25"/>
        <v>0</v>
      </c>
      <c r="AA54" s="14">
        <f t="shared" ca="1" si="25"/>
        <v>0</v>
      </c>
      <c r="AB54" s="14">
        <f t="shared" ca="1" si="25"/>
        <v>0</v>
      </c>
      <c r="AC54" s="14">
        <f t="shared" ca="1" si="25"/>
        <v>0</v>
      </c>
      <c r="AD54" s="14">
        <f t="shared" ca="1" si="25"/>
        <v>0</v>
      </c>
      <c r="AE54" s="14">
        <f t="shared" ca="1" si="25"/>
        <v>0</v>
      </c>
      <c r="AF54" s="14">
        <f t="shared" ca="1" si="25"/>
        <v>0</v>
      </c>
      <c r="AG54" s="14">
        <f t="shared" ca="1" si="25"/>
        <v>0</v>
      </c>
      <c r="AH54" s="14">
        <f t="shared" ca="1" si="25"/>
        <v>0</v>
      </c>
      <c r="AI54" s="14">
        <f t="shared" ca="1" si="25"/>
        <v>0</v>
      </c>
      <c r="AJ54" s="14">
        <f t="shared" ca="1" si="25"/>
        <v>0</v>
      </c>
      <c r="AK54" s="14">
        <f t="shared" ca="1" si="25"/>
        <v>0</v>
      </c>
      <c r="AL54" s="14">
        <f t="shared" ca="1" si="25"/>
        <v>0</v>
      </c>
      <c r="AM54" s="14">
        <f t="shared" ca="1" si="25"/>
        <v>0</v>
      </c>
      <c r="AN54" s="14">
        <f t="shared" ca="1" si="25"/>
        <v>0</v>
      </c>
      <c r="AO54" s="14">
        <f t="shared" ca="1" si="25"/>
        <v>0</v>
      </c>
      <c r="AP54" s="14">
        <f t="shared" ca="1" si="25"/>
        <v>0</v>
      </c>
      <c r="AQ54" s="14">
        <f t="shared" ca="1" si="25"/>
        <v>0</v>
      </c>
      <c r="AR54" s="14">
        <f t="shared" ca="1" si="25"/>
        <v>0</v>
      </c>
      <c r="AS54" s="14">
        <f t="shared" ca="1" si="25"/>
        <v>0</v>
      </c>
      <c r="AT54" s="14">
        <f t="shared" ca="1" si="25"/>
        <v>0</v>
      </c>
      <c r="AU54" s="14">
        <f t="shared" ca="1" si="25"/>
        <v>0</v>
      </c>
      <c r="AV54" s="14">
        <f t="shared" ca="1" si="25"/>
        <v>0</v>
      </c>
      <c r="AW54" s="14">
        <f t="shared" ca="1" si="25"/>
        <v>0</v>
      </c>
      <c r="AX54" s="14">
        <f t="shared" ca="1" si="25"/>
        <v>0</v>
      </c>
      <c r="AY54" s="14">
        <f t="shared" ca="1" si="25"/>
        <v>0</v>
      </c>
    </row>
    <row r="55" spans="1:51" x14ac:dyDescent="0.25">
      <c r="A55" t="s">
        <v>147</v>
      </c>
      <c r="B55">
        <f t="shared" ref="B55" ca="1" si="26">--(SUM(B30:B34)=5)</f>
        <v>0</v>
      </c>
      <c r="C55">
        <f ca="1">--(SUM(C30:C34)=5)</f>
        <v>0</v>
      </c>
      <c r="D55">
        <f t="shared" ref="D55:AY55" ca="1" si="27">--(SUM(D30:D34)=5)</f>
        <v>0</v>
      </c>
      <c r="E55">
        <f t="shared" ca="1" si="27"/>
        <v>0</v>
      </c>
      <c r="F55">
        <f t="shared" ca="1" si="27"/>
        <v>0</v>
      </c>
      <c r="G55">
        <f t="shared" ca="1" si="27"/>
        <v>0</v>
      </c>
      <c r="H55">
        <f t="shared" ca="1" si="27"/>
        <v>0</v>
      </c>
      <c r="I55">
        <f t="shared" ca="1" si="27"/>
        <v>0</v>
      </c>
      <c r="J55">
        <f t="shared" ca="1" si="27"/>
        <v>0</v>
      </c>
      <c r="K55">
        <f t="shared" ca="1" si="27"/>
        <v>0</v>
      </c>
      <c r="L55">
        <f t="shared" ca="1" si="27"/>
        <v>0</v>
      </c>
      <c r="M55">
        <f t="shared" ca="1" si="27"/>
        <v>0</v>
      </c>
      <c r="N55">
        <f t="shared" ca="1" si="27"/>
        <v>0</v>
      </c>
      <c r="O55">
        <f t="shared" ca="1" si="27"/>
        <v>0</v>
      </c>
      <c r="P55">
        <f t="shared" ca="1" si="27"/>
        <v>0</v>
      </c>
      <c r="Q55">
        <f t="shared" ca="1" si="27"/>
        <v>0</v>
      </c>
      <c r="R55">
        <f t="shared" ca="1" si="27"/>
        <v>0</v>
      </c>
      <c r="S55">
        <f t="shared" ca="1" si="27"/>
        <v>0</v>
      </c>
      <c r="T55">
        <f t="shared" ca="1" si="27"/>
        <v>0</v>
      </c>
      <c r="U55">
        <f t="shared" ca="1" si="27"/>
        <v>0</v>
      </c>
      <c r="V55">
        <f t="shared" ca="1" si="27"/>
        <v>0</v>
      </c>
      <c r="W55">
        <f t="shared" ca="1" si="27"/>
        <v>0</v>
      </c>
      <c r="X55">
        <f t="shared" ca="1" si="27"/>
        <v>0</v>
      </c>
      <c r="Y55">
        <f t="shared" ca="1" si="27"/>
        <v>0</v>
      </c>
      <c r="Z55">
        <f t="shared" ca="1" si="27"/>
        <v>0</v>
      </c>
      <c r="AA55">
        <f t="shared" ca="1" si="27"/>
        <v>0</v>
      </c>
      <c r="AB55">
        <f t="shared" ca="1" si="27"/>
        <v>0</v>
      </c>
      <c r="AC55">
        <f t="shared" ca="1" si="27"/>
        <v>0</v>
      </c>
      <c r="AD55">
        <f t="shared" ca="1" si="27"/>
        <v>0</v>
      </c>
      <c r="AE55">
        <f t="shared" ca="1" si="27"/>
        <v>0</v>
      </c>
      <c r="AF55">
        <f t="shared" ca="1" si="27"/>
        <v>0</v>
      </c>
      <c r="AG55">
        <f t="shared" ca="1" si="27"/>
        <v>0</v>
      </c>
      <c r="AH55">
        <f t="shared" ca="1" si="27"/>
        <v>0</v>
      </c>
      <c r="AI55">
        <f t="shared" ca="1" si="27"/>
        <v>0</v>
      </c>
      <c r="AJ55">
        <f t="shared" ca="1" si="27"/>
        <v>0</v>
      </c>
      <c r="AK55">
        <f t="shared" ca="1" si="27"/>
        <v>0</v>
      </c>
      <c r="AL55">
        <f t="shared" ca="1" si="27"/>
        <v>0</v>
      </c>
      <c r="AM55">
        <f t="shared" ca="1" si="27"/>
        <v>0</v>
      </c>
      <c r="AN55">
        <f t="shared" ca="1" si="27"/>
        <v>0</v>
      </c>
      <c r="AO55">
        <f t="shared" ca="1" si="27"/>
        <v>0</v>
      </c>
      <c r="AP55">
        <f t="shared" ca="1" si="27"/>
        <v>0</v>
      </c>
      <c r="AQ55">
        <f t="shared" ca="1" si="27"/>
        <v>0</v>
      </c>
      <c r="AR55">
        <f t="shared" ca="1" si="27"/>
        <v>0</v>
      </c>
      <c r="AS55">
        <f t="shared" ca="1" si="27"/>
        <v>0</v>
      </c>
      <c r="AT55">
        <f t="shared" ca="1" si="27"/>
        <v>0</v>
      </c>
      <c r="AU55">
        <f t="shared" ca="1" si="27"/>
        <v>0</v>
      </c>
      <c r="AV55">
        <f t="shared" ca="1" si="27"/>
        <v>0</v>
      </c>
      <c r="AW55">
        <f t="shared" ca="1" si="27"/>
        <v>0</v>
      </c>
      <c r="AX55">
        <f t="shared" ca="1" si="27"/>
        <v>0</v>
      </c>
      <c r="AY55">
        <f t="shared" ca="1" si="27"/>
        <v>0</v>
      </c>
    </row>
    <row r="56" spans="1:51" x14ac:dyDescent="0.25">
      <c r="A56" t="s">
        <v>148</v>
      </c>
      <c r="B56">
        <f t="shared" ref="B56" ca="1" si="28">--(SUM(B35:B39)=5)</f>
        <v>0</v>
      </c>
      <c r="C56">
        <f t="shared" ref="C56:AY56" ca="1" si="29">--(SUM(C35:C39)=5)</f>
        <v>0</v>
      </c>
      <c r="D56">
        <f t="shared" ca="1" si="29"/>
        <v>0</v>
      </c>
      <c r="E56">
        <f t="shared" ca="1" si="29"/>
        <v>0</v>
      </c>
      <c r="F56">
        <f t="shared" ca="1" si="29"/>
        <v>0</v>
      </c>
      <c r="G56">
        <f t="shared" ca="1" si="29"/>
        <v>0</v>
      </c>
      <c r="H56">
        <f t="shared" ca="1" si="29"/>
        <v>0</v>
      </c>
      <c r="I56">
        <f t="shared" ca="1" si="29"/>
        <v>0</v>
      </c>
      <c r="J56">
        <f t="shared" ca="1" si="29"/>
        <v>0</v>
      </c>
      <c r="K56">
        <f t="shared" ca="1" si="29"/>
        <v>0</v>
      </c>
      <c r="L56">
        <f t="shared" ca="1" si="29"/>
        <v>0</v>
      </c>
      <c r="M56">
        <f t="shared" ca="1" si="29"/>
        <v>0</v>
      </c>
      <c r="N56">
        <f t="shared" ca="1" si="29"/>
        <v>0</v>
      </c>
      <c r="O56">
        <f t="shared" ca="1" si="29"/>
        <v>0</v>
      </c>
      <c r="P56">
        <f t="shared" ca="1" si="29"/>
        <v>0</v>
      </c>
      <c r="Q56">
        <f t="shared" ca="1" si="29"/>
        <v>0</v>
      </c>
      <c r="R56">
        <f t="shared" ca="1" si="29"/>
        <v>0</v>
      </c>
      <c r="S56">
        <f t="shared" ca="1" si="29"/>
        <v>0</v>
      </c>
      <c r="T56">
        <f t="shared" ca="1" si="29"/>
        <v>0</v>
      </c>
      <c r="U56">
        <f t="shared" ca="1" si="29"/>
        <v>0</v>
      </c>
      <c r="V56">
        <f t="shared" ca="1" si="29"/>
        <v>0</v>
      </c>
      <c r="W56">
        <f t="shared" ca="1" si="29"/>
        <v>0</v>
      </c>
      <c r="X56">
        <f t="shared" ca="1" si="29"/>
        <v>0</v>
      </c>
      <c r="Y56">
        <f t="shared" ca="1" si="29"/>
        <v>0</v>
      </c>
      <c r="Z56">
        <f t="shared" ca="1" si="29"/>
        <v>0</v>
      </c>
      <c r="AA56">
        <f t="shared" ca="1" si="29"/>
        <v>0</v>
      </c>
      <c r="AB56">
        <f t="shared" ca="1" si="29"/>
        <v>0</v>
      </c>
      <c r="AC56">
        <f t="shared" ca="1" si="29"/>
        <v>0</v>
      </c>
      <c r="AD56">
        <f t="shared" ca="1" si="29"/>
        <v>0</v>
      </c>
      <c r="AE56">
        <f t="shared" ca="1" si="29"/>
        <v>0</v>
      </c>
      <c r="AF56">
        <f t="shared" ca="1" si="29"/>
        <v>0</v>
      </c>
      <c r="AG56">
        <f t="shared" ca="1" si="29"/>
        <v>0</v>
      </c>
      <c r="AH56">
        <f t="shared" ca="1" si="29"/>
        <v>0</v>
      </c>
      <c r="AI56">
        <f t="shared" ca="1" si="29"/>
        <v>0</v>
      </c>
      <c r="AJ56">
        <f t="shared" ca="1" si="29"/>
        <v>0</v>
      </c>
      <c r="AK56">
        <f t="shared" ca="1" si="29"/>
        <v>0</v>
      </c>
      <c r="AL56">
        <f t="shared" ca="1" si="29"/>
        <v>0</v>
      </c>
      <c r="AM56">
        <f t="shared" ca="1" si="29"/>
        <v>0</v>
      </c>
      <c r="AN56">
        <f t="shared" ca="1" si="29"/>
        <v>0</v>
      </c>
      <c r="AO56">
        <f t="shared" ca="1" si="29"/>
        <v>0</v>
      </c>
      <c r="AP56">
        <f t="shared" ca="1" si="29"/>
        <v>0</v>
      </c>
      <c r="AQ56">
        <f t="shared" ca="1" si="29"/>
        <v>0</v>
      </c>
      <c r="AR56">
        <f t="shared" ca="1" si="29"/>
        <v>0</v>
      </c>
      <c r="AS56">
        <f t="shared" ca="1" si="29"/>
        <v>0</v>
      </c>
      <c r="AT56">
        <f t="shared" ca="1" si="29"/>
        <v>0</v>
      </c>
      <c r="AU56">
        <f t="shared" ca="1" si="29"/>
        <v>0</v>
      </c>
      <c r="AV56">
        <f t="shared" ca="1" si="29"/>
        <v>0</v>
      </c>
      <c r="AW56">
        <f t="shared" ca="1" si="29"/>
        <v>0</v>
      </c>
      <c r="AX56">
        <f t="shared" ca="1" si="29"/>
        <v>0</v>
      </c>
      <c r="AY56">
        <f t="shared" ca="1" si="29"/>
        <v>0</v>
      </c>
    </row>
    <row r="57" spans="1:51" x14ac:dyDescent="0.25">
      <c r="A57" t="s">
        <v>149</v>
      </c>
      <c r="B57">
        <f t="shared" ref="B57" ca="1" si="30">--(SUM(B40:B44)=5)</f>
        <v>0</v>
      </c>
      <c r="C57">
        <f t="shared" ref="C57:AY57" ca="1" si="31">--(SUM(C40:C44)=5)</f>
        <v>0</v>
      </c>
      <c r="D57">
        <f t="shared" ca="1" si="31"/>
        <v>0</v>
      </c>
      <c r="E57">
        <f t="shared" ca="1" si="31"/>
        <v>0</v>
      </c>
      <c r="F57">
        <f t="shared" ca="1" si="31"/>
        <v>0</v>
      </c>
      <c r="G57">
        <f t="shared" ca="1" si="31"/>
        <v>0</v>
      </c>
      <c r="H57">
        <f t="shared" ca="1" si="31"/>
        <v>0</v>
      </c>
      <c r="I57">
        <f t="shared" ca="1" si="31"/>
        <v>0</v>
      </c>
      <c r="J57">
        <f t="shared" ca="1" si="31"/>
        <v>0</v>
      </c>
      <c r="K57">
        <f t="shared" ca="1" si="31"/>
        <v>0</v>
      </c>
      <c r="L57">
        <f t="shared" ca="1" si="31"/>
        <v>0</v>
      </c>
      <c r="M57">
        <f t="shared" ca="1" si="31"/>
        <v>0</v>
      </c>
      <c r="N57">
        <f t="shared" ca="1" si="31"/>
        <v>0</v>
      </c>
      <c r="O57">
        <f t="shared" ca="1" si="31"/>
        <v>0</v>
      </c>
      <c r="P57">
        <f t="shared" ca="1" si="31"/>
        <v>0</v>
      </c>
      <c r="Q57">
        <f t="shared" ca="1" si="31"/>
        <v>0</v>
      </c>
      <c r="R57">
        <f t="shared" ca="1" si="31"/>
        <v>0</v>
      </c>
      <c r="S57">
        <f t="shared" ca="1" si="31"/>
        <v>0</v>
      </c>
      <c r="T57">
        <f t="shared" ca="1" si="31"/>
        <v>0</v>
      </c>
      <c r="U57">
        <f t="shared" ca="1" si="31"/>
        <v>0</v>
      </c>
      <c r="V57">
        <f t="shared" ca="1" si="31"/>
        <v>0</v>
      </c>
      <c r="W57">
        <f t="shared" ca="1" si="31"/>
        <v>0</v>
      </c>
      <c r="X57">
        <f t="shared" ca="1" si="31"/>
        <v>0</v>
      </c>
      <c r="Y57">
        <f t="shared" ca="1" si="31"/>
        <v>0</v>
      </c>
      <c r="Z57">
        <f t="shared" ca="1" si="31"/>
        <v>0</v>
      </c>
      <c r="AA57">
        <f t="shared" ca="1" si="31"/>
        <v>0</v>
      </c>
      <c r="AB57">
        <f t="shared" ca="1" si="31"/>
        <v>0</v>
      </c>
      <c r="AC57">
        <f t="shared" ca="1" si="31"/>
        <v>0</v>
      </c>
      <c r="AD57">
        <f t="shared" ca="1" si="31"/>
        <v>0</v>
      </c>
      <c r="AE57">
        <f t="shared" ca="1" si="31"/>
        <v>0</v>
      </c>
      <c r="AF57">
        <f t="shared" ca="1" si="31"/>
        <v>0</v>
      </c>
      <c r="AG57">
        <f t="shared" ca="1" si="31"/>
        <v>0</v>
      </c>
      <c r="AH57">
        <f t="shared" ca="1" si="31"/>
        <v>0</v>
      </c>
      <c r="AI57">
        <f t="shared" ca="1" si="31"/>
        <v>0</v>
      </c>
      <c r="AJ57">
        <f t="shared" ca="1" si="31"/>
        <v>0</v>
      </c>
      <c r="AK57">
        <f t="shared" ca="1" si="31"/>
        <v>0</v>
      </c>
      <c r="AL57">
        <f t="shared" ca="1" si="31"/>
        <v>0</v>
      </c>
      <c r="AM57">
        <f t="shared" ca="1" si="31"/>
        <v>0</v>
      </c>
      <c r="AN57">
        <f t="shared" ca="1" si="31"/>
        <v>0</v>
      </c>
      <c r="AO57">
        <f t="shared" ca="1" si="31"/>
        <v>0</v>
      </c>
      <c r="AP57">
        <f t="shared" ca="1" si="31"/>
        <v>0</v>
      </c>
      <c r="AQ57">
        <f t="shared" ca="1" si="31"/>
        <v>0</v>
      </c>
      <c r="AR57">
        <f t="shared" ca="1" si="31"/>
        <v>0</v>
      </c>
      <c r="AS57">
        <f t="shared" ca="1" si="31"/>
        <v>0</v>
      </c>
      <c r="AT57">
        <f t="shared" ca="1" si="31"/>
        <v>0</v>
      </c>
      <c r="AU57">
        <f t="shared" ca="1" si="31"/>
        <v>0</v>
      </c>
      <c r="AV57">
        <f t="shared" ca="1" si="31"/>
        <v>0</v>
      </c>
      <c r="AW57">
        <f t="shared" ca="1" si="31"/>
        <v>0</v>
      </c>
      <c r="AX57">
        <f t="shared" ca="1" si="31"/>
        <v>0</v>
      </c>
      <c r="AY57">
        <f t="shared" ca="1" si="31"/>
        <v>0</v>
      </c>
    </row>
    <row r="58" spans="1:51" x14ac:dyDescent="0.25">
      <c r="A58" t="s">
        <v>150</v>
      </c>
      <c r="B58">
        <f t="shared" ref="B58" ca="1" si="32">--(SUM(B45:B49)=5)</f>
        <v>0</v>
      </c>
      <c r="C58">
        <f t="shared" ref="C58:AY58" ca="1" si="33">--(SUM(C45:C49)=5)</f>
        <v>0</v>
      </c>
      <c r="D58">
        <f ca="1">--(SUM(D45:D49)=5)</f>
        <v>0</v>
      </c>
      <c r="E58">
        <f t="shared" ca="1" si="33"/>
        <v>0</v>
      </c>
      <c r="F58">
        <f t="shared" ca="1" si="33"/>
        <v>0</v>
      </c>
      <c r="G58">
        <f t="shared" ca="1" si="33"/>
        <v>0</v>
      </c>
      <c r="H58">
        <f t="shared" ca="1" si="33"/>
        <v>0</v>
      </c>
      <c r="I58">
        <f t="shared" ca="1" si="33"/>
        <v>0</v>
      </c>
      <c r="J58">
        <f t="shared" ca="1" si="33"/>
        <v>0</v>
      </c>
      <c r="K58">
        <f t="shared" ca="1" si="33"/>
        <v>0</v>
      </c>
      <c r="L58">
        <f t="shared" ca="1" si="33"/>
        <v>0</v>
      </c>
      <c r="M58">
        <f t="shared" ca="1" si="33"/>
        <v>0</v>
      </c>
      <c r="N58">
        <f t="shared" ca="1" si="33"/>
        <v>0</v>
      </c>
      <c r="O58">
        <f t="shared" ca="1" si="33"/>
        <v>0</v>
      </c>
      <c r="P58">
        <f t="shared" ca="1" si="33"/>
        <v>0</v>
      </c>
      <c r="Q58">
        <f t="shared" ca="1" si="33"/>
        <v>0</v>
      </c>
      <c r="R58">
        <f t="shared" ca="1" si="33"/>
        <v>0</v>
      </c>
      <c r="S58">
        <f t="shared" ca="1" si="33"/>
        <v>0</v>
      </c>
      <c r="T58">
        <f t="shared" ca="1" si="33"/>
        <v>0</v>
      </c>
      <c r="U58">
        <f t="shared" ca="1" si="33"/>
        <v>0</v>
      </c>
      <c r="V58">
        <f t="shared" ca="1" si="33"/>
        <v>0</v>
      </c>
      <c r="W58">
        <f t="shared" ca="1" si="33"/>
        <v>0</v>
      </c>
      <c r="X58">
        <f t="shared" ca="1" si="33"/>
        <v>0</v>
      </c>
      <c r="Y58">
        <f t="shared" ca="1" si="33"/>
        <v>0</v>
      </c>
      <c r="Z58">
        <f t="shared" ca="1" si="33"/>
        <v>0</v>
      </c>
      <c r="AA58">
        <f t="shared" ca="1" si="33"/>
        <v>0</v>
      </c>
      <c r="AB58">
        <f t="shared" ca="1" si="33"/>
        <v>0</v>
      </c>
      <c r="AC58">
        <f t="shared" ca="1" si="33"/>
        <v>0</v>
      </c>
      <c r="AD58">
        <f t="shared" ca="1" si="33"/>
        <v>0</v>
      </c>
      <c r="AE58">
        <f t="shared" ca="1" si="33"/>
        <v>0</v>
      </c>
      <c r="AF58">
        <f t="shared" ca="1" si="33"/>
        <v>0</v>
      </c>
      <c r="AG58">
        <f t="shared" ca="1" si="33"/>
        <v>0</v>
      </c>
      <c r="AH58">
        <f t="shared" ca="1" si="33"/>
        <v>0</v>
      </c>
      <c r="AI58">
        <f t="shared" ca="1" si="33"/>
        <v>0</v>
      </c>
      <c r="AJ58">
        <f t="shared" ca="1" si="33"/>
        <v>0</v>
      </c>
      <c r="AK58">
        <f t="shared" ca="1" si="33"/>
        <v>0</v>
      </c>
      <c r="AL58">
        <f t="shared" ca="1" si="33"/>
        <v>0</v>
      </c>
      <c r="AM58">
        <f t="shared" ca="1" si="33"/>
        <v>0</v>
      </c>
      <c r="AN58">
        <f t="shared" ca="1" si="33"/>
        <v>0</v>
      </c>
      <c r="AO58">
        <f t="shared" ca="1" si="33"/>
        <v>0</v>
      </c>
      <c r="AP58">
        <f t="shared" ca="1" si="33"/>
        <v>0</v>
      </c>
      <c r="AQ58">
        <f t="shared" ca="1" si="33"/>
        <v>0</v>
      </c>
      <c r="AR58">
        <f t="shared" ca="1" si="33"/>
        <v>0</v>
      </c>
      <c r="AS58">
        <f t="shared" ca="1" si="33"/>
        <v>0</v>
      </c>
      <c r="AT58">
        <f t="shared" ca="1" si="33"/>
        <v>0</v>
      </c>
      <c r="AU58">
        <f t="shared" ca="1" si="33"/>
        <v>0</v>
      </c>
      <c r="AV58">
        <f t="shared" ca="1" si="33"/>
        <v>0</v>
      </c>
      <c r="AW58">
        <f t="shared" ca="1" si="33"/>
        <v>0</v>
      </c>
      <c r="AX58">
        <f t="shared" ca="1" si="33"/>
        <v>0</v>
      </c>
      <c r="AY58">
        <f t="shared" ca="1" si="33"/>
        <v>0</v>
      </c>
    </row>
    <row r="59" spans="1:51" x14ac:dyDescent="0.25">
      <c r="A59" t="s">
        <v>151</v>
      </c>
      <c r="B59">
        <f t="shared" ref="B59" ca="1" si="34">--(SUM(B50:B54)=5)</f>
        <v>0</v>
      </c>
      <c r="C59">
        <f t="shared" ref="C59:AY59" ca="1" si="35">--(SUM(C50:C54)=5)</f>
        <v>0</v>
      </c>
      <c r="D59">
        <f t="shared" ca="1" si="35"/>
        <v>0</v>
      </c>
      <c r="E59">
        <f t="shared" ca="1" si="35"/>
        <v>0</v>
      </c>
      <c r="F59">
        <f t="shared" ca="1" si="35"/>
        <v>0</v>
      </c>
      <c r="G59">
        <f t="shared" ca="1" si="35"/>
        <v>0</v>
      </c>
      <c r="H59">
        <f t="shared" ca="1" si="35"/>
        <v>0</v>
      </c>
      <c r="I59">
        <f t="shared" ca="1" si="35"/>
        <v>0</v>
      </c>
      <c r="J59">
        <f t="shared" ca="1" si="35"/>
        <v>0</v>
      </c>
      <c r="K59">
        <f t="shared" ca="1" si="35"/>
        <v>0</v>
      </c>
      <c r="L59">
        <f t="shared" ca="1" si="35"/>
        <v>0</v>
      </c>
      <c r="M59">
        <f t="shared" ca="1" si="35"/>
        <v>0</v>
      </c>
      <c r="N59">
        <f t="shared" ca="1" si="35"/>
        <v>0</v>
      </c>
      <c r="O59">
        <f t="shared" ca="1" si="35"/>
        <v>0</v>
      </c>
      <c r="P59">
        <f t="shared" ca="1" si="35"/>
        <v>0</v>
      </c>
      <c r="Q59">
        <f t="shared" ca="1" si="35"/>
        <v>0</v>
      </c>
      <c r="R59">
        <f t="shared" ca="1" si="35"/>
        <v>0</v>
      </c>
      <c r="S59">
        <f t="shared" ca="1" si="35"/>
        <v>0</v>
      </c>
      <c r="T59">
        <f t="shared" ca="1" si="35"/>
        <v>0</v>
      </c>
      <c r="U59">
        <f t="shared" ca="1" si="35"/>
        <v>0</v>
      </c>
      <c r="V59">
        <f t="shared" ca="1" si="35"/>
        <v>0</v>
      </c>
      <c r="W59">
        <f t="shared" ca="1" si="35"/>
        <v>0</v>
      </c>
      <c r="X59">
        <f t="shared" ca="1" si="35"/>
        <v>0</v>
      </c>
      <c r="Y59">
        <f t="shared" ca="1" si="35"/>
        <v>0</v>
      </c>
      <c r="Z59">
        <f t="shared" ca="1" si="35"/>
        <v>0</v>
      </c>
      <c r="AA59">
        <f t="shared" ca="1" si="35"/>
        <v>0</v>
      </c>
      <c r="AB59">
        <f t="shared" ca="1" si="35"/>
        <v>0</v>
      </c>
      <c r="AC59">
        <f t="shared" ca="1" si="35"/>
        <v>0</v>
      </c>
      <c r="AD59">
        <f t="shared" ca="1" si="35"/>
        <v>0</v>
      </c>
      <c r="AE59">
        <f t="shared" ca="1" si="35"/>
        <v>0</v>
      </c>
      <c r="AF59">
        <f t="shared" ca="1" si="35"/>
        <v>0</v>
      </c>
      <c r="AG59">
        <f t="shared" ca="1" si="35"/>
        <v>0</v>
      </c>
      <c r="AH59">
        <f t="shared" ca="1" si="35"/>
        <v>0</v>
      </c>
      <c r="AI59">
        <f t="shared" ca="1" si="35"/>
        <v>0</v>
      </c>
      <c r="AJ59">
        <f t="shared" ca="1" si="35"/>
        <v>0</v>
      </c>
      <c r="AK59">
        <f t="shared" ca="1" si="35"/>
        <v>0</v>
      </c>
      <c r="AL59">
        <f t="shared" ca="1" si="35"/>
        <v>0</v>
      </c>
      <c r="AM59">
        <f t="shared" ca="1" si="35"/>
        <v>0</v>
      </c>
      <c r="AN59">
        <f t="shared" ca="1" si="35"/>
        <v>0</v>
      </c>
      <c r="AO59">
        <f t="shared" ca="1" si="35"/>
        <v>0</v>
      </c>
      <c r="AP59">
        <f t="shared" ca="1" si="35"/>
        <v>0</v>
      </c>
      <c r="AQ59">
        <f t="shared" ca="1" si="35"/>
        <v>0</v>
      </c>
      <c r="AR59">
        <f t="shared" ca="1" si="35"/>
        <v>0</v>
      </c>
      <c r="AS59">
        <f t="shared" ca="1" si="35"/>
        <v>0</v>
      </c>
      <c r="AT59">
        <f t="shared" ca="1" si="35"/>
        <v>0</v>
      </c>
      <c r="AU59">
        <f t="shared" ca="1" si="35"/>
        <v>0</v>
      </c>
      <c r="AV59">
        <f t="shared" ca="1" si="35"/>
        <v>0</v>
      </c>
      <c r="AW59">
        <f t="shared" ca="1" si="35"/>
        <v>0</v>
      </c>
      <c r="AX59">
        <f t="shared" ca="1" si="35"/>
        <v>0</v>
      </c>
      <c r="AY59">
        <f t="shared" ca="1" si="35"/>
        <v>0</v>
      </c>
    </row>
    <row r="60" spans="1:51" x14ac:dyDescent="0.25">
      <c r="A60" t="s">
        <v>152</v>
      </c>
      <c r="B60">
        <f t="shared" ref="B60" ca="1" si="36">--(SUM(B30,B35,B40,B45,B50)=5)</f>
        <v>0</v>
      </c>
      <c r="C60">
        <f t="shared" ref="C60:AY60" ca="1" si="37">--(SUM(C30,C35,C40,C45,C50)=5)</f>
        <v>0</v>
      </c>
      <c r="D60">
        <f t="shared" ca="1" si="37"/>
        <v>0</v>
      </c>
      <c r="E60">
        <f t="shared" ca="1" si="37"/>
        <v>0</v>
      </c>
      <c r="F60">
        <f t="shared" ca="1" si="37"/>
        <v>0</v>
      </c>
      <c r="G60">
        <f t="shared" ca="1" si="37"/>
        <v>0</v>
      </c>
      <c r="H60">
        <f t="shared" ca="1" si="37"/>
        <v>0</v>
      </c>
      <c r="I60">
        <f t="shared" ca="1" si="37"/>
        <v>0</v>
      </c>
      <c r="J60">
        <f t="shared" ca="1" si="37"/>
        <v>0</v>
      </c>
      <c r="K60">
        <f t="shared" ca="1" si="37"/>
        <v>0</v>
      </c>
      <c r="L60">
        <f t="shared" ca="1" si="37"/>
        <v>0</v>
      </c>
      <c r="M60">
        <f t="shared" ca="1" si="37"/>
        <v>0</v>
      </c>
      <c r="N60">
        <f t="shared" ca="1" si="37"/>
        <v>0</v>
      </c>
      <c r="O60">
        <f t="shared" ca="1" si="37"/>
        <v>0</v>
      </c>
      <c r="P60">
        <f t="shared" ca="1" si="37"/>
        <v>0</v>
      </c>
      <c r="Q60">
        <f t="shared" ca="1" si="37"/>
        <v>0</v>
      </c>
      <c r="R60">
        <f t="shared" ca="1" si="37"/>
        <v>0</v>
      </c>
      <c r="S60">
        <f t="shared" ca="1" si="37"/>
        <v>0</v>
      </c>
      <c r="T60">
        <f t="shared" ca="1" si="37"/>
        <v>0</v>
      </c>
      <c r="U60">
        <f t="shared" ca="1" si="37"/>
        <v>0</v>
      </c>
      <c r="V60">
        <f t="shared" ca="1" si="37"/>
        <v>0</v>
      </c>
      <c r="W60">
        <f t="shared" ca="1" si="37"/>
        <v>0</v>
      </c>
      <c r="X60">
        <f t="shared" ca="1" si="37"/>
        <v>0</v>
      </c>
      <c r="Y60">
        <f t="shared" ca="1" si="37"/>
        <v>0</v>
      </c>
      <c r="Z60">
        <f t="shared" ca="1" si="37"/>
        <v>0</v>
      </c>
      <c r="AA60">
        <f t="shared" ca="1" si="37"/>
        <v>0</v>
      </c>
      <c r="AB60">
        <f t="shared" ca="1" si="37"/>
        <v>0</v>
      </c>
      <c r="AC60">
        <f t="shared" ca="1" si="37"/>
        <v>0</v>
      </c>
      <c r="AD60">
        <f t="shared" ca="1" si="37"/>
        <v>0</v>
      </c>
      <c r="AE60">
        <f t="shared" ca="1" si="37"/>
        <v>0</v>
      </c>
      <c r="AF60">
        <f t="shared" ca="1" si="37"/>
        <v>0</v>
      </c>
      <c r="AG60">
        <f t="shared" ca="1" si="37"/>
        <v>0</v>
      </c>
      <c r="AH60">
        <f t="shared" ca="1" si="37"/>
        <v>0</v>
      </c>
      <c r="AI60">
        <f t="shared" ca="1" si="37"/>
        <v>0</v>
      </c>
      <c r="AJ60">
        <f t="shared" ca="1" si="37"/>
        <v>0</v>
      </c>
      <c r="AK60">
        <f t="shared" ca="1" si="37"/>
        <v>0</v>
      </c>
      <c r="AL60">
        <f t="shared" ca="1" si="37"/>
        <v>0</v>
      </c>
      <c r="AM60">
        <f t="shared" ca="1" si="37"/>
        <v>0</v>
      </c>
      <c r="AN60">
        <f t="shared" ca="1" si="37"/>
        <v>0</v>
      </c>
      <c r="AO60">
        <f t="shared" ca="1" si="37"/>
        <v>0</v>
      </c>
      <c r="AP60">
        <f t="shared" ca="1" si="37"/>
        <v>0</v>
      </c>
      <c r="AQ60">
        <f t="shared" ca="1" si="37"/>
        <v>0</v>
      </c>
      <c r="AR60">
        <f t="shared" ca="1" si="37"/>
        <v>0</v>
      </c>
      <c r="AS60">
        <f t="shared" ca="1" si="37"/>
        <v>0</v>
      </c>
      <c r="AT60">
        <f t="shared" ca="1" si="37"/>
        <v>0</v>
      </c>
      <c r="AU60">
        <f t="shared" ca="1" si="37"/>
        <v>0</v>
      </c>
      <c r="AV60">
        <f t="shared" ca="1" si="37"/>
        <v>0</v>
      </c>
      <c r="AW60">
        <f t="shared" ca="1" si="37"/>
        <v>0</v>
      </c>
      <c r="AX60">
        <f t="shared" ca="1" si="37"/>
        <v>0</v>
      </c>
      <c r="AY60">
        <f t="shared" ca="1" si="37"/>
        <v>0</v>
      </c>
    </row>
    <row r="61" spans="1:51" x14ac:dyDescent="0.25">
      <c r="A61" t="s">
        <v>153</v>
      </c>
      <c r="B61">
        <f t="shared" ref="B61" ca="1" si="38">--(SUM(B31,B36,B41,B46,B51)=5)</f>
        <v>0</v>
      </c>
      <c r="C61">
        <f t="shared" ref="C61:AY61" ca="1" si="39">--(SUM(C31,C36,C41,C46,C51)=5)</f>
        <v>0</v>
      </c>
      <c r="D61">
        <f t="shared" ca="1" si="39"/>
        <v>0</v>
      </c>
      <c r="E61">
        <f t="shared" ca="1" si="39"/>
        <v>0</v>
      </c>
      <c r="F61">
        <f t="shared" ca="1" si="39"/>
        <v>0</v>
      </c>
      <c r="G61">
        <f t="shared" ca="1" si="39"/>
        <v>0</v>
      </c>
      <c r="H61">
        <f t="shared" ca="1" si="39"/>
        <v>0</v>
      </c>
      <c r="I61">
        <f t="shared" ca="1" si="39"/>
        <v>0</v>
      </c>
      <c r="J61">
        <f t="shared" ca="1" si="39"/>
        <v>0</v>
      </c>
      <c r="K61">
        <f t="shared" ca="1" si="39"/>
        <v>0</v>
      </c>
      <c r="L61">
        <f t="shared" ca="1" si="39"/>
        <v>0</v>
      </c>
      <c r="M61">
        <f t="shared" ca="1" si="39"/>
        <v>0</v>
      </c>
      <c r="N61">
        <f t="shared" ca="1" si="39"/>
        <v>0</v>
      </c>
      <c r="O61">
        <f t="shared" ca="1" si="39"/>
        <v>0</v>
      </c>
      <c r="P61">
        <f t="shared" ca="1" si="39"/>
        <v>0</v>
      </c>
      <c r="Q61">
        <f t="shared" ca="1" si="39"/>
        <v>0</v>
      </c>
      <c r="R61">
        <f t="shared" ca="1" si="39"/>
        <v>0</v>
      </c>
      <c r="S61">
        <f t="shared" ca="1" si="39"/>
        <v>0</v>
      </c>
      <c r="T61">
        <f t="shared" ca="1" si="39"/>
        <v>0</v>
      </c>
      <c r="U61">
        <f t="shared" ca="1" si="39"/>
        <v>0</v>
      </c>
      <c r="V61">
        <f t="shared" ca="1" si="39"/>
        <v>0</v>
      </c>
      <c r="W61">
        <f t="shared" ca="1" si="39"/>
        <v>0</v>
      </c>
      <c r="X61">
        <f t="shared" ca="1" si="39"/>
        <v>0</v>
      </c>
      <c r="Y61">
        <f t="shared" ca="1" si="39"/>
        <v>0</v>
      </c>
      <c r="Z61">
        <f t="shared" ca="1" si="39"/>
        <v>0</v>
      </c>
      <c r="AA61">
        <f t="shared" ca="1" si="39"/>
        <v>0</v>
      </c>
      <c r="AB61">
        <f t="shared" ca="1" si="39"/>
        <v>0</v>
      </c>
      <c r="AC61">
        <f t="shared" ca="1" si="39"/>
        <v>0</v>
      </c>
      <c r="AD61">
        <f t="shared" ca="1" si="39"/>
        <v>0</v>
      </c>
      <c r="AE61">
        <f t="shared" ca="1" si="39"/>
        <v>0</v>
      </c>
      <c r="AF61">
        <f t="shared" ca="1" si="39"/>
        <v>0</v>
      </c>
      <c r="AG61">
        <f t="shared" ca="1" si="39"/>
        <v>0</v>
      </c>
      <c r="AH61">
        <f t="shared" ca="1" si="39"/>
        <v>0</v>
      </c>
      <c r="AI61">
        <f t="shared" ca="1" si="39"/>
        <v>0</v>
      </c>
      <c r="AJ61">
        <f t="shared" ca="1" si="39"/>
        <v>0</v>
      </c>
      <c r="AK61">
        <f t="shared" ca="1" si="39"/>
        <v>0</v>
      </c>
      <c r="AL61">
        <f t="shared" ca="1" si="39"/>
        <v>0</v>
      </c>
      <c r="AM61">
        <f t="shared" ca="1" si="39"/>
        <v>0</v>
      </c>
      <c r="AN61">
        <f t="shared" ca="1" si="39"/>
        <v>0</v>
      </c>
      <c r="AO61">
        <f t="shared" ca="1" si="39"/>
        <v>0</v>
      </c>
      <c r="AP61">
        <f t="shared" ca="1" si="39"/>
        <v>0</v>
      </c>
      <c r="AQ61">
        <f t="shared" ca="1" si="39"/>
        <v>0</v>
      </c>
      <c r="AR61">
        <f t="shared" ca="1" si="39"/>
        <v>0</v>
      </c>
      <c r="AS61">
        <f t="shared" ca="1" si="39"/>
        <v>0</v>
      </c>
      <c r="AT61">
        <f t="shared" ca="1" si="39"/>
        <v>0</v>
      </c>
      <c r="AU61">
        <f t="shared" ca="1" si="39"/>
        <v>0</v>
      </c>
      <c r="AV61">
        <f t="shared" ca="1" si="39"/>
        <v>0</v>
      </c>
      <c r="AW61">
        <f t="shared" ca="1" si="39"/>
        <v>0</v>
      </c>
      <c r="AX61">
        <f t="shared" ca="1" si="39"/>
        <v>0</v>
      </c>
      <c r="AY61">
        <f t="shared" ca="1" si="39"/>
        <v>0</v>
      </c>
    </row>
    <row r="62" spans="1:51" x14ac:dyDescent="0.25">
      <c r="A62" t="s">
        <v>154</v>
      </c>
      <c r="B62">
        <f t="shared" ref="B62" ca="1" si="40">--(SUM(B32,B37,B42,B47,B52)=5)</f>
        <v>0</v>
      </c>
      <c r="C62">
        <f t="shared" ref="C62:AY62" ca="1" si="41">--(SUM(C32,C37,C42,C47,C52)=5)</f>
        <v>0</v>
      </c>
      <c r="D62">
        <f t="shared" ca="1" si="41"/>
        <v>0</v>
      </c>
      <c r="E62">
        <f t="shared" ca="1" si="41"/>
        <v>0</v>
      </c>
      <c r="F62">
        <f t="shared" ca="1" si="41"/>
        <v>0</v>
      </c>
      <c r="G62">
        <f t="shared" ca="1" si="41"/>
        <v>0</v>
      </c>
      <c r="H62">
        <f t="shared" ca="1" si="41"/>
        <v>0</v>
      </c>
      <c r="I62">
        <f t="shared" ca="1" si="41"/>
        <v>0</v>
      </c>
      <c r="J62">
        <f t="shared" ca="1" si="41"/>
        <v>0</v>
      </c>
      <c r="K62">
        <f t="shared" ca="1" si="41"/>
        <v>0</v>
      </c>
      <c r="L62">
        <f t="shared" ca="1" si="41"/>
        <v>0</v>
      </c>
      <c r="M62">
        <f t="shared" ca="1" si="41"/>
        <v>0</v>
      </c>
      <c r="N62">
        <f t="shared" ca="1" si="41"/>
        <v>0</v>
      </c>
      <c r="O62">
        <f t="shared" ca="1" si="41"/>
        <v>0</v>
      </c>
      <c r="P62">
        <f t="shared" ca="1" si="41"/>
        <v>0</v>
      </c>
      <c r="Q62">
        <f t="shared" ca="1" si="41"/>
        <v>0</v>
      </c>
      <c r="R62">
        <f t="shared" ca="1" si="41"/>
        <v>0</v>
      </c>
      <c r="S62">
        <f t="shared" ca="1" si="41"/>
        <v>0</v>
      </c>
      <c r="T62">
        <f t="shared" ca="1" si="41"/>
        <v>0</v>
      </c>
      <c r="U62">
        <f t="shared" ca="1" si="41"/>
        <v>0</v>
      </c>
      <c r="V62">
        <f t="shared" ca="1" si="41"/>
        <v>0</v>
      </c>
      <c r="W62">
        <f t="shared" ca="1" si="41"/>
        <v>0</v>
      </c>
      <c r="X62">
        <f t="shared" ca="1" si="41"/>
        <v>0</v>
      </c>
      <c r="Y62">
        <f t="shared" ca="1" si="41"/>
        <v>0</v>
      </c>
      <c r="Z62">
        <f t="shared" ca="1" si="41"/>
        <v>0</v>
      </c>
      <c r="AA62">
        <f t="shared" ca="1" si="41"/>
        <v>0</v>
      </c>
      <c r="AB62">
        <f t="shared" ca="1" si="41"/>
        <v>0</v>
      </c>
      <c r="AC62">
        <f t="shared" ca="1" si="41"/>
        <v>0</v>
      </c>
      <c r="AD62">
        <f t="shared" ca="1" si="41"/>
        <v>0</v>
      </c>
      <c r="AE62">
        <f t="shared" ca="1" si="41"/>
        <v>0</v>
      </c>
      <c r="AF62">
        <f t="shared" ca="1" si="41"/>
        <v>0</v>
      </c>
      <c r="AG62">
        <f t="shared" ca="1" si="41"/>
        <v>0</v>
      </c>
      <c r="AH62">
        <f t="shared" ca="1" si="41"/>
        <v>0</v>
      </c>
      <c r="AI62">
        <f t="shared" ca="1" si="41"/>
        <v>0</v>
      </c>
      <c r="AJ62">
        <f t="shared" ca="1" si="41"/>
        <v>0</v>
      </c>
      <c r="AK62">
        <f t="shared" ca="1" si="41"/>
        <v>0</v>
      </c>
      <c r="AL62">
        <f t="shared" ca="1" si="41"/>
        <v>0</v>
      </c>
      <c r="AM62">
        <f t="shared" ca="1" si="41"/>
        <v>0</v>
      </c>
      <c r="AN62">
        <f t="shared" ca="1" si="41"/>
        <v>0</v>
      </c>
      <c r="AO62">
        <f t="shared" ca="1" si="41"/>
        <v>0</v>
      </c>
      <c r="AP62">
        <f t="shared" ca="1" si="41"/>
        <v>0</v>
      </c>
      <c r="AQ62">
        <f t="shared" ca="1" si="41"/>
        <v>0</v>
      </c>
      <c r="AR62">
        <f t="shared" ca="1" si="41"/>
        <v>0</v>
      </c>
      <c r="AS62">
        <f t="shared" ca="1" si="41"/>
        <v>0</v>
      </c>
      <c r="AT62">
        <f t="shared" ca="1" si="41"/>
        <v>0</v>
      </c>
      <c r="AU62">
        <f t="shared" ca="1" si="41"/>
        <v>0</v>
      </c>
      <c r="AV62">
        <f t="shared" ca="1" si="41"/>
        <v>0</v>
      </c>
      <c r="AW62">
        <f t="shared" ca="1" si="41"/>
        <v>0</v>
      </c>
      <c r="AX62">
        <f t="shared" ca="1" si="41"/>
        <v>0</v>
      </c>
      <c r="AY62">
        <f t="shared" ca="1" si="41"/>
        <v>0</v>
      </c>
    </row>
    <row r="63" spans="1:51" x14ac:dyDescent="0.25">
      <c r="A63" t="s">
        <v>155</v>
      </c>
      <c r="B63">
        <f t="shared" ref="B63" ca="1" si="42">--(SUM(B33,B38,B43,B48,B53)=5)</f>
        <v>0</v>
      </c>
      <c r="C63">
        <f t="shared" ref="C63:AY63" ca="1" si="43">--(SUM(C33,C38,C43,C48,C53)=5)</f>
        <v>0</v>
      </c>
      <c r="D63">
        <f t="shared" ca="1" si="43"/>
        <v>0</v>
      </c>
      <c r="E63">
        <f t="shared" ca="1" si="43"/>
        <v>0</v>
      </c>
      <c r="F63">
        <f t="shared" ca="1" si="43"/>
        <v>0</v>
      </c>
      <c r="G63">
        <f t="shared" ca="1" si="43"/>
        <v>0</v>
      </c>
      <c r="H63">
        <f t="shared" ca="1" si="43"/>
        <v>0</v>
      </c>
      <c r="I63">
        <f t="shared" ca="1" si="43"/>
        <v>0</v>
      </c>
      <c r="J63">
        <f t="shared" ca="1" si="43"/>
        <v>0</v>
      </c>
      <c r="K63">
        <f t="shared" ca="1" si="43"/>
        <v>0</v>
      </c>
      <c r="L63">
        <f t="shared" ca="1" si="43"/>
        <v>0</v>
      </c>
      <c r="M63">
        <f t="shared" ca="1" si="43"/>
        <v>0</v>
      </c>
      <c r="N63">
        <f t="shared" ca="1" si="43"/>
        <v>0</v>
      </c>
      <c r="O63">
        <f t="shared" ca="1" si="43"/>
        <v>0</v>
      </c>
      <c r="P63">
        <f t="shared" ca="1" si="43"/>
        <v>0</v>
      </c>
      <c r="Q63">
        <f t="shared" ca="1" si="43"/>
        <v>0</v>
      </c>
      <c r="R63">
        <f t="shared" ca="1" si="43"/>
        <v>0</v>
      </c>
      <c r="S63">
        <f t="shared" ca="1" si="43"/>
        <v>0</v>
      </c>
      <c r="T63">
        <f t="shared" ca="1" si="43"/>
        <v>0</v>
      </c>
      <c r="U63">
        <f t="shared" ca="1" si="43"/>
        <v>0</v>
      </c>
      <c r="V63">
        <f t="shared" ca="1" si="43"/>
        <v>0</v>
      </c>
      <c r="W63">
        <f t="shared" ca="1" si="43"/>
        <v>0</v>
      </c>
      <c r="X63">
        <f t="shared" ca="1" si="43"/>
        <v>0</v>
      </c>
      <c r="Y63">
        <f t="shared" ca="1" si="43"/>
        <v>0</v>
      </c>
      <c r="Z63">
        <f t="shared" ca="1" si="43"/>
        <v>0</v>
      </c>
      <c r="AA63">
        <f t="shared" ca="1" si="43"/>
        <v>0</v>
      </c>
      <c r="AB63">
        <f t="shared" ca="1" si="43"/>
        <v>0</v>
      </c>
      <c r="AC63">
        <f t="shared" ca="1" si="43"/>
        <v>0</v>
      </c>
      <c r="AD63">
        <f t="shared" ca="1" si="43"/>
        <v>0</v>
      </c>
      <c r="AE63">
        <f t="shared" ca="1" si="43"/>
        <v>0</v>
      </c>
      <c r="AF63">
        <f t="shared" ca="1" si="43"/>
        <v>0</v>
      </c>
      <c r="AG63">
        <f t="shared" ca="1" si="43"/>
        <v>0</v>
      </c>
      <c r="AH63">
        <f t="shared" ca="1" si="43"/>
        <v>0</v>
      </c>
      <c r="AI63">
        <f t="shared" ca="1" si="43"/>
        <v>0</v>
      </c>
      <c r="AJ63">
        <f t="shared" ca="1" si="43"/>
        <v>0</v>
      </c>
      <c r="AK63">
        <f t="shared" ca="1" si="43"/>
        <v>0</v>
      </c>
      <c r="AL63">
        <f t="shared" ca="1" si="43"/>
        <v>0</v>
      </c>
      <c r="AM63">
        <f t="shared" ca="1" si="43"/>
        <v>0</v>
      </c>
      <c r="AN63">
        <f t="shared" ca="1" si="43"/>
        <v>0</v>
      </c>
      <c r="AO63">
        <f t="shared" ca="1" si="43"/>
        <v>0</v>
      </c>
      <c r="AP63">
        <f t="shared" ca="1" si="43"/>
        <v>0</v>
      </c>
      <c r="AQ63">
        <f t="shared" ca="1" si="43"/>
        <v>0</v>
      </c>
      <c r="AR63">
        <f t="shared" ca="1" si="43"/>
        <v>0</v>
      </c>
      <c r="AS63">
        <f t="shared" ca="1" si="43"/>
        <v>0</v>
      </c>
      <c r="AT63">
        <f t="shared" ca="1" si="43"/>
        <v>0</v>
      </c>
      <c r="AU63">
        <f t="shared" ca="1" si="43"/>
        <v>0</v>
      </c>
      <c r="AV63">
        <f t="shared" ca="1" si="43"/>
        <v>0</v>
      </c>
      <c r="AW63">
        <f t="shared" ca="1" si="43"/>
        <v>0</v>
      </c>
      <c r="AX63">
        <f t="shared" ca="1" si="43"/>
        <v>0</v>
      </c>
      <c r="AY63">
        <f t="shared" ca="1" si="43"/>
        <v>0</v>
      </c>
    </row>
    <row r="64" spans="1:51" x14ac:dyDescent="0.25">
      <c r="A64" t="s">
        <v>156</v>
      </c>
      <c r="B64">
        <f t="shared" ref="B64" ca="1" si="44">--(SUM(B34,B39,B44,B49,B54)=5)</f>
        <v>0</v>
      </c>
      <c r="C64">
        <f t="shared" ref="C64:AY64" ca="1" si="45">--(SUM(C34,C39,C44,C49,C54)=5)</f>
        <v>0</v>
      </c>
      <c r="D64">
        <f t="shared" ca="1" si="45"/>
        <v>0</v>
      </c>
      <c r="E64">
        <f t="shared" ca="1" si="45"/>
        <v>0</v>
      </c>
      <c r="F64">
        <f t="shared" ca="1" si="45"/>
        <v>0</v>
      </c>
      <c r="G64">
        <f t="shared" ca="1" si="45"/>
        <v>0</v>
      </c>
      <c r="H64">
        <f t="shared" ca="1" si="45"/>
        <v>0</v>
      </c>
      <c r="I64">
        <f t="shared" ca="1" si="45"/>
        <v>0</v>
      </c>
      <c r="J64">
        <f t="shared" ca="1" si="45"/>
        <v>0</v>
      </c>
      <c r="K64">
        <f t="shared" ca="1" si="45"/>
        <v>0</v>
      </c>
      <c r="L64">
        <f t="shared" ca="1" si="45"/>
        <v>0</v>
      </c>
      <c r="M64">
        <f t="shared" ca="1" si="45"/>
        <v>0</v>
      </c>
      <c r="N64">
        <f t="shared" ca="1" si="45"/>
        <v>0</v>
      </c>
      <c r="O64">
        <f t="shared" ca="1" si="45"/>
        <v>0</v>
      </c>
      <c r="P64">
        <f t="shared" ca="1" si="45"/>
        <v>0</v>
      </c>
      <c r="Q64">
        <f t="shared" ca="1" si="45"/>
        <v>0</v>
      </c>
      <c r="R64">
        <f t="shared" ca="1" si="45"/>
        <v>0</v>
      </c>
      <c r="S64">
        <f t="shared" ca="1" si="45"/>
        <v>0</v>
      </c>
      <c r="T64">
        <f t="shared" ca="1" si="45"/>
        <v>0</v>
      </c>
      <c r="U64">
        <f t="shared" ca="1" si="45"/>
        <v>0</v>
      </c>
      <c r="V64">
        <f t="shared" ca="1" si="45"/>
        <v>0</v>
      </c>
      <c r="W64">
        <f t="shared" ca="1" si="45"/>
        <v>0</v>
      </c>
      <c r="X64">
        <f t="shared" ca="1" si="45"/>
        <v>0</v>
      </c>
      <c r="Y64">
        <f t="shared" ca="1" si="45"/>
        <v>0</v>
      </c>
      <c r="Z64">
        <f t="shared" ca="1" si="45"/>
        <v>0</v>
      </c>
      <c r="AA64">
        <f t="shared" ca="1" si="45"/>
        <v>0</v>
      </c>
      <c r="AB64">
        <f t="shared" ca="1" si="45"/>
        <v>0</v>
      </c>
      <c r="AC64">
        <f t="shared" ca="1" si="45"/>
        <v>0</v>
      </c>
      <c r="AD64">
        <f t="shared" ca="1" si="45"/>
        <v>0</v>
      </c>
      <c r="AE64">
        <f t="shared" ca="1" si="45"/>
        <v>0</v>
      </c>
      <c r="AF64">
        <f t="shared" ca="1" si="45"/>
        <v>0</v>
      </c>
      <c r="AG64">
        <f t="shared" ca="1" si="45"/>
        <v>0</v>
      </c>
      <c r="AH64">
        <f t="shared" ca="1" si="45"/>
        <v>0</v>
      </c>
      <c r="AI64">
        <f t="shared" ca="1" si="45"/>
        <v>0</v>
      </c>
      <c r="AJ64">
        <f t="shared" ca="1" si="45"/>
        <v>0</v>
      </c>
      <c r="AK64">
        <f t="shared" ca="1" si="45"/>
        <v>0</v>
      </c>
      <c r="AL64">
        <f t="shared" ca="1" si="45"/>
        <v>0</v>
      </c>
      <c r="AM64">
        <f t="shared" ca="1" si="45"/>
        <v>0</v>
      </c>
      <c r="AN64">
        <f t="shared" ca="1" si="45"/>
        <v>0</v>
      </c>
      <c r="AO64">
        <f t="shared" ca="1" si="45"/>
        <v>0</v>
      </c>
      <c r="AP64">
        <f t="shared" ca="1" si="45"/>
        <v>0</v>
      </c>
      <c r="AQ64">
        <f t="shared" ca="1" si="45"/>
        <v>0</v>
      </c>
      <c r="AR64">
        <f t="shared" ca="1" si="45"/>
        <v>0</v>
      </c>
      <c r="AS64">
        <f t="shared" ca="1" si="45"/>
        <v>0</v>
      </c>
      <c r="AT64">
        <f t="shared" ca="1" si="45"/>
        <v>0</v>
      </c>
      <c r="AU64">
        <f t="shared" ca="1" si="45"/>
        <v>0</v>
      </c>
      <c r="AV64">
        <f t="shared" ca="1" si="45"/>
        <v>0</v>
      </c>
      <c r="AW64">
        <f t="shared" ca="1" si="45"/>
        <v>0</v>
      </c>
      <c r="AX64">
        <f t="shared" ca="1" si="45"/>
        <v>0</v>
      </c>
      <c r="AY64">
        <f t="shared" ca="1" si="45"/>
        <v>0</v>
      </c>
    </row>
    <row r="65" spans="1:51" x14ac:dyDescent="0.25">
      <c r="A65" t="s">
        <v>157</v>
      </c>
      <c r="B65">
        <f t="shared" ref="B65" ca="1" si="46">--(SUM(B30,B36,B42,B48,B54)=5)</f>
        <v>0</v>
      </c>
      <c r="C65">
        <f t="shared" ref="C65:AY65" ca="1" si="47">--(SUM(C30,C36,C42,C48,C54)=5)</f>
        <v>0</v>
      </c>
      <c r="D65">
        <f t="shared" ca="1" si="47"/>
        <v>0</v>
      </c>
      <c r="E65">
        <f t="shared" ca="1" si="47"/>
        <v>0</v>
      </c>
      <c r="F65">
        <f t="shared" ca="1" si="47"/>
        <v>0</v>
      </c>
      <c r="G65">
        <f t="shared" ca="1" si="47"/>
        <v>0</v>
      </c>
      <c r="H65">
        <f t="shared" ca="1" si="47"/>
        <v>0</v>
      </c>
      <c r="I65">
        <f t="shared" ca="1" si="47"/>
        <v>0</v>
      </c>
      <c r="J65">
        <f t="shared" ca="1" si="47"/>
        <v>0</v>
      </c>
      <c r="K65">
        <f t="shared" ca="1" si="47"/>
        <v>0</v>
      </c>
      <c r="L65">
        <f t="shared" ca="1" si="47"/>
        <v>0</v>
      </c>
      <c r="M65">
        <f t="shared" ca="1" si="47"/>
        <v>0</v>
      </c>
      <c r="N65">
        <f t="shared" ca="1" si="47"/>
        <v>0</v>
      </c>
      <c r="O65">
        <f t="shared" ca="1" si="47"/>
        <v>0</v>
      </c>
      <c r="P65">
        <f t="shared" ca="1" si="47"/>
        <v>0</v>
      </c>
      <c r="Q65">
        <f t="shared" ca="1" si="47"/>
        <v>0</v>
      </c>
      <c r="R65">
        <f t="shared" ca="1" si="47"/>
        <v>0</v>
      </c>
      <c r="S65">
        <f t="shared" ca="1" si="47"/>
        <v>0</v>
      </c>
      <c r="T65">
        <f t="shared" ca="1" si="47"/>
        <v>0</v>
      </c>
      <c r="U65">
        <f t="shared" ca="1" si="47"/>
        <v>0</v>
      </c>
      <c r="V65">
        <f t="shared" ca="1" si="47"/>
        <v>0</v>
      </c>
      <c r="W65">
        <f t="shared" ca="1" si="47"/>
        <v>0</v>
      </c>
      <c r="X65">
        <f t="shared" ca="1" si="47"/>
        <v>0</v>
      </c>
      <c r="Y65">
        <f t="shared" ca="1" si="47"/>
        <v>0</v>
      </c>
      <c r="Z65">
        <f t="shared" ca="1" si="47"/>
        <v>0</v>
      </c>
      <c r="AA65">
        <f t="shared" ca="1" si="47"/>
        <v>0</v>
      </c>
      <c r="AB65">
        <f t="shared" ca="1" si="47"/>
        <v>0</v>
      </c>
      <c r="AC65">
        <f t="shared" ca="1" si="47"/>
        <v>0</v>
      </c>
      <c r="AD65">
        <f t="shared" ca="1" si="47"/>
        <v>0</v>
      </c>
      <c r="AE65">
        <f t="shared" ca="1" si="47"/>
        <v>0</v>
      </c>
      <c r="AF65">
        <f t="shared" ca="1" si="47"/>
        <v>0</v>
      </c>
      <c r="AG65">
        <f t="shared" ca="1" si="47"/>
        <v>0</v>
      </c>
      <c r="AH65">
        <f t="shared" ca="1" si="47"/>
        <v>0</v>
      </c>
      <c r="AI65">
        <f t="shared" ca="1" si="47"/>
        <v>0</v>
      </c>
      <c r="AJ65">
        <f t="shared" ca="1" si="47"/>
        <v>0</v>
      </c>
      <c r="AK65">
        <f t="shared" ca="1" si="47"/>
        <v>0</v>
      </c>
      <c r="AL65">
        <f t="shared" ca="1" si="47"/>
        <v>0</v>
      </c>
      <c r="AM65">
        <f t="shared" ca="1" si="47"/>
        <v>0</v>
      </c>
      <c r="AN65">
        <f t="shared" ca="1" si="47"/>
        <v>0</v>
      </c>
      <c r="AO65">
        <f t="shared" ca="1" si="47"/>
        <v>0</v>
      </c>
      <c r="AP65">
        <f t="shared" ca="1" si="47"/>
        <v>0</v>
      </c>
      <c r="AQ65">
        <f t="shared" ca="1" si="47"/>
        <v>0</v>
      </c>
      <c r="AR65">
        <f t="shared" ca="1" si="47"/>
        <v>0</v>
      </c>
      <c r="AS65">
        <f t="shared" ca="1" si="47"/>
        <v>0</v>
      </c>
      <c r="AT65">
        <f t="shared" ca="1" si="47"/>
        <v>0</v>
      </c>
      <c r="AU65">
        <f t="shared" ca="1" si="47"/>
        <v>0</v>
      </c>
      <c r="AV65">
        <f t="shared" ca="1" si="47"/>
        <v>0</v>
      </c>
      <c r="AW65">
        <f t="shared" ca="1" si="47"/>
        <v>0</v>
      </c>
      <c r="AX65">
        <f t="shared" ca="1" si="47"/>
        <v>0</v>
      </c>
      <c r="AY65">
        <f t="shared" ca="1" si="47"/>
        <v>0</v>
      </c>
    </row>
    <row r="66" spans="1:51" ht="15.75" thickBot="1" x14ac:dyDescent="0.3">
      <c r="A66" s="14" t="s">
        <v>158</v>
      </c>
      <c r="B66" s="14">
        <f t="shared" ref="B66" ca="1" si="48">--(SUM(B34,B38,B42,B46,B50)=5)</f>
        <v>0</v>
      </c>
      <c r="C66" s="14">
        <f t="shared" ref="C66:AY66" ca="1" si="49">--(SUM(C34,C38,C42,C46,C50)=5)</f>
        <v>0</v>
      </c>
      <c r="D66" s="14">
        <f t="shared" ca="1" si="49"/>
        <v>0</v>
      </c>
      <c r="E66" s="14">
        <f t="shared" ca="1" si="49"/>
        <v>0</v>
      </c>
      <c r="F66" s="14">
        <f t="shared" ca="1" si="49"/>
        <v>0</v>
      </c>
      <c r="G66" s="14">
        <f t="shared" ca="1" si="49"/>
        <v>0</v>
      </c>
      <c r="H66" s="14">
        <f t="shared" ca="1" si="49"/>
        <v>0</v>
      </c>
      <c r="I66" s="14">
        <f t="shared" ca="1" si="49"/>
        <v>0</v>
      </c>
      <c r="J66" s="14">
        <f t="shared" ca="1" si="49"/>
        <v>0</v>
      </c>
      <c r="K66" s="14">
        <f t="shared" ca="1" si="49"/>
        <v>0</v>
      </c>
      <c r="L66" s="14">
        <f t="shared" ca="1" si="49"/>
        <v>0</v>
      </c>
      <c r="M66" s="14">
        <f t="shared" ca="1" si="49"/>
        <v>0</v>
      </c>
      <c r="N66" s="14">
        <f t="shared" ca="1" si="49"/>
        <v>0</v>
      </c>
      <c r="O66" s="14">
        <f t="shared" ca="1" si="49"/>
        <v>0</v>
      </c>
      <c r="P66" s="14">
        <f t="shared" ca="1" si="49"/>
        <v>0</v>
      </c>
      <c r="Q66" s="14">
        <f t="shared" ca="1" si="49"/>
        <v>0</v>
      </c>
      <c r="R66" s="14">
        <f t="shared" ca="1" si="49"/>
        <v>0</v>
      </c>
      <c r="S66" s="14">
        <f t="shared" ca="1" si="49"/>
        <v>0</v>
      </c>
      <c r="T66" s="14">
        <f t="shared" ca="1" si="49"/>
        <v>0</v>
      </c>
      <c r="U66" s="14">
        <f t="shared" ca="1" si="49"/>
        <v>0</v>
      </c>
      <c r="V66" s="14">
        <f t="shared" ca="1" si="49"/>
        <v>0</v>
      </c>
      <c r="W66" s="14">
        <f t="shared" ca="1" si="49"/>
        <v>0</v>
      </c>
      <c r="X66" s="14">
        <f t="shared" ca="1" si="49"/>
        <v>0</v>
      </c>
      <c r="Y66" s="14">
        <f t="shared" ca="1" si="49"/>
        <v>0</v>
      </c>
      <c r="Z66" s="14">
        <f t="shared" ca="1" si="49"/>
        <v>0</v>
      </c>
      <c r="AA66" s="14">
        <f t="shared" ca="1" si="49"/>
        <v>0</v>
      </c>
      <c r="AB66" s="14">
        <f t="shared" ca="1" si="49"/>
        <v>0</v>
      </c>
      <c r="AC66" s="14">
        <f t="shared" ca="1" si="49"/>
        <v>0</v>
      </c>
      <c r="AD66" s="14">
        <f t="shared" ca="1" si="49"/>
        <v>0</v>
      </c>
      <c r="AE66" s="14">
        <f t="shared" ca="1" si="49"/>
        <v>0</v>
      </c>
      <c r="AF66" s="14">
        <f t="shared" ca="1" si="49"/>
        <v>0</v>
      </c>
      <c r="AG66" s="14">
        <f t="shared" ca="1" si="49"/>
        <v>0</v>
      </c>
      <c r="AH66" s="14">
        <f t="shared" ca="1" si="49"/>
        <v>0</v>
      </c>
      <c r="AI66" s="14">
        <f t="shared" ca="1" si="49"/>
        <v>0</v>
      </c>
      <c r="AJ66" s="14">
        <f t="shared" ca="1" si="49"/>
        <v>0</v>
      </c>
      <c r="AK66" s="14">
        <f t="shared" ca="1" si="49"/>
        <v>0</v>
      </c>
      <c r="AL66" s="14">
        <f t="shared" ca="1" si="49"/>
        <v>0</v>
      </c>
      <c r="AM66" s="14">
        <f t="shared" ca="1" si="49"/>
        <v>0</v>
      </c>
      <c r="AN66" s="14">
        <f t="shared" ca="1" si="49"/>
        <v>0</v>
      </c>
      <c r="AO66" s="14">
        <f t="shared" ca="1" si="49"/>
        <v>0</v>
      </c>
      <c r="AP66" s="14">
        <f t="shared" ca="1" si="49"/>
        <v>0</v>
      </c>
      <c r="AQ66" s="14">
        <f t="shared" ca="1" si="49"/>
        <v>0</v>
      </c>
      <c r="AR66" s="14">
        <f t="shared" ca="1" si="49"/>
        <v>0</v>
      </c>
      <c r="AS66" s="14">
        <f t="shared" ca="1" si="49"/>
        <v>0</v>
      </c>
      <c r="AT66" s="14">
        <f t="shared" ca="1" si="49"/>
        <v>0</v>
      </c>
      <c r="AU66" s="14">
        <f t="shared" ca="1" si="49"/>
        <v>0</v>
      </c>
      <c r="AV66" s="14">
        <f t="shared" ca="1" si="49"/>
        <v>0</v>
      </c>
      <c r="AW66" s="14">
        <f t="shared" ca="1" si="49"/>
        <v>0</v>
      </c>
      <c r="AX66" s="14">
        <f t="shared" ca="1" si="49"/>
        <v>0</v>
      </c>
      <c r="AY66" s="14">
        <f t="shared" ca="1" si="49"/>
        <v>0</v>
      </c>
    </row>
    <row r="70" spans="1:51" ht="30" x14ac:dyDescent="0.25">
      <c r="A70" s="41" t="s">
        <v>17</v>
      </c>
      <c r="B70" s="41"/>
      <c r="C70" s="7" t="s">
        <v>218</v>
      </c>
      <c r="D70" s="7" t="s">
        <v>219</v>
      </c>
      <c r="E70" s="7" t="s">
        <v>220</v>
      </c>
      <c r="F70" s="7" t="s">
        <v>221</v>
      </c>
      <c r="G70" s="7" t="s">
        <v>222</v>
      </c>
      <c r="H70" s="7" t="s">
        <v>223</v>
      </c>
      <c r="K70" s="9" t="s">
        <v>12</v>
      </c>
      <c r="L70" s="9" t="s">
        <v>13</v>
      </c>
      <c r="M70" s="9"/>
      <c r="N70" s="9"/>
      <c r="P70" s="9" t="s">
        <v>224</v>
      </c>
      <c r="AN70" s="18"/>
      <c r="AO70" s="18"/>
    </row>
    <row r="71" spans="1:51" x14ac:dyDescent="0.25">
      <c r="A71">
        <v>1</v>
      </c>
      <c r="B71" s="8" t="s">
        <v>159</v>
      </c>
      <c r="C71">
        <f t="shared" ref="C71:C95" ca="1" si="50">--(SUM(OFFSET($B$55:$B$66,0,(ROW($B71)-ROW($B$71))*Num_Rounds*Cards_Per_Round))&gt;=1)</f>
        <v>0</v>
      </c>
      <c r="D71">
        <f t="shared" ref="D71:D95" ca="1" si="51">--(SUM(OFFSET($B$55:$B$66,0,(ROW($B71)-ROW($B$71))*Num_Rounds*Cards_Per_Round))&gt;=2)</f>
        <v>0</v>
      </c>
      <c r="E71">
        <f t="shared" ref="E71:E95" ca="1" si="52">--(SUM(OFFSET($B$55:$B$66,0,(ROW($B71)-ROW($B$71))*Num_Rounds*Cards_Per_Round))=12)</f>
        <v>0</v>
      </c>
      <c r="F71">
        <f t="shared" ref="F71:F95" ca="1" si="53">--(SUM(OFFSET($C$55:$C$66,0,(ROW($B71)-ROW($B$71))*Num_Rounds*Cards_Per_Round))&gt;=1)</f>
        <v>0</v>
      </c>
      <c r="G71">
        <f t="shared" ref="G71:G95" ca="1" si="54">--(SUM(OFFSET($C$55:$C$66,0,(ROW($B71)-ROW($B$71))*Num_Rounds*Cards_Per_Round))&gt;=2)</f>
        <v>0</v>
      </c>
      <c r="H71">
        <f t="shared" ref="H71:H95" ca="1" si="55">--(SUM(OFFSET($C$55:$C$66,0,(ROW($B71)-ROW($B$71))*Num_Rounds*Cards_Per_Round))=12)</f>
        <v>0</v>
      </c>
      <c r="K71" t="s">
        <v>14</v>
      </c>
      <c r="L71" s="24">
        <f>COUNTA(Players)</f>
        <v>25</v>
      </c>
      <c r="M71" s="24"/>
      <c r="N71" s="24"/>
      <c r="P71" s="28" t="s">
        <v>230</v>
      </c>
      <c r="AN71" s="18"/>
      <c r="AO71" s="18"/>
    </row>
    <row r="72" spans="1:51" x14ac:dyDescent="0.25">
      <c r="A72">
        <v>2</v>
      </c>
      <c r="B72" s="8" t="s">
        <v>160</v>
      </c>
      <c r="C72">
        <f t="shared" ca="1" si="50"/>
        <v>0</v>
      </c>
      <c r="D72">
        <f t="shared" ca="1" si="51"/>
        <v>0</v>
      </c>
      <c r="E72">
        <f t="shared" ca="1" si="52"/>
        <v>0</v>
      </c>
      <c r="F72">
        <f t="shared" ca="1" si="53"/>
        <v>0</v>
      </c>
      <c r="G72">
        <f t="shared" ca="1" si="54"/>
        <v>0</v>
      </c>
      <c r="H72">
        <f t="shared" ca="1" si="55"/>
        <v>0</v>
      </c>
      <c r="K72" s="2" t="s">
        <v>15</v>
      </c>
      <c r="L72" s="37">
        <v>1</v>
      </c>
      <c r="M72" s="24"/>
      <c r="N72" s="24"/>
      <c r="AN72" s="18"/>
      <c r="AO72" s="18"/>
    </row>
    <row r="73" spans="1:51" x14ac:dyDescent="0.25">
      <c r="A73">
        <v>3</v>
      </c>
      <c r="B73" s="8" t="s">
        <v>161</v>
      </c>
      <c r="C73">
        <f t="shared" ca="1" si="50"/>
        <v>0</v>
      </c>
      <c r="D73">
        <f t="shared" ca="1" si="51"/>
        <v>0</v>
      </c>
      <c r="E73">
        <f t="shared" ca="1" si="52"/>
        <v>0</v>
      </c>
      <c r="F73">
        <f t="shared" ca="1" si="53"/>
        <v>0</v>
      </c>
      <c r="G73">
        <f t="shared" ca="1" si="54"/>
        <v>0</v>
      </c>
      <c r="H73">
        <f t="shared" ca="1" si="55"/>
        <v>0</v>
      </c>
      <c r="K73" s="2" t="s">
        <v>16</v>
      </c>
      <c r="L73" s="37">
        <v>2</v>
      </c>
      <c r="M73" s="24"/>
      <c r="N73" s="24"/>
      <c r="AN73" s="18"/>
      <c r="AO73" s="18"/>
    </row>
    <row r="74" spans="1:51" ht="15" customHeight="1" x14ac:dyDescent="0.25">
      <c r="A74">
        <v>4</v>
      </c>
      <c r="B74" s="8" t="s">
        <v>162</v>
      </c>
      <c r="C74">
        <f t="shared" ca="1" si="50"/>
        <v>0</v>
      </c>
      <c r="D74">
        <f t="shared" ca="1" si="51"/>
        <v>0</v>
      </c>
      <c r="E74">
        <f t="shared" ca="1" si="52"/>
        <v>0</v>
      </c>
      <c r="F74">
        <f t="shared" ca="1" si="53"/>
        <v>0</v>
      </c>
      <c r="G74">
        <f t="shared" ca="1" si="54"/>
        <v>0</v>
      </c>
      <c r="H74">
        <f t="shared" ca="1" si="55"/>
        <v>0</v>
      </c>
      <c r="L74" s="42" t="s">
        <v>184</v>
      </c>
      <c r="M74" s="42"/>
      <c r="N74" s="42"/>
      <c r="AN74" s="18"/>
      <c r="AO74" s="18"/>
    </row>
    <row r="75" spans="1:51" x14ac:dyDescent="0.25">
      <c r="A75">
        <v>5</v>
      </c>
      <c r="B75" s="8" t="s">
        <v>163</v>
      </c>
      <c r="C75">
        <f t="shared" ca="1" si="50"/>
        <v>0</v>
      </c>
      <c r="D75">
        <f t="shared" ca="1" si="51"/>
        <v>0</v>
      </c>
      <c r="E75">
        <f t="shared" ca="1" si="52"/>
        <v>0</v>
      </c>
      <c r="F75">
        <f t="shared" ca="1" si="53"/>
        <v>0</v>
      </c>
      <c r="G75">
        <f t="shared" ca="1" si="54"/>
        <v>0</v>
      </c>
      <c r="H75">
        <f t="shared" ca="1" si="55"/>
        <v>0</v>
      </c>
      <c r="K75" s="25"/>
      <c r="L75" s="42"/>
      <c r="M75" s="42"/>
      <c r="N75" s="42"/>
      <c r="AN75" s="18"/>
      <c r="AO75" s="18"/>
    </row>
    <row r="76" spans="1:51" x14ac:dyDescent="0.25">
      <c r="A76">
        <v>6</v>
      </c>
      <c r="B76" s="8" t="s">
        <v>164</v>
      </c>
      <c r="C76">
        <f t="shared" ca="1" si="50"/>
        <v>0</v>
      </c>
      <c r="D76">
        <f t="shared" ca="1" si="51"/>
        <v>0</v>
      </c>
      <c r="E76">
        <f t="shared" ca="1" si="52"/>
        <v>0</v>
      </c>
      <c r="F76">
        <f t="shared" ca="1" si="53"/>
        <v>0</v>
      </c>
      <c r="G76">
        <f t="shared" ca="1" si="54"/>
        <v>0</v>
      </c>
      <c r="H76">
        <f t="shared" ca="1" si="55"/>
        <v>0</v>
      </c>
      <c r="K76" s="25"/>
      <c r="L76" s="42"/>
      <c r="M76" s="42"/>
      <c r="N76" s="42"/>
      <c r="AN76" s="18"/>
      <c r="AO76" s="18"/>
    </row>
    <row r="77" spans="1:51" x14ac:dyDescent="0.25">
      <c r="A77">
        <v>7</v>
      </c>
      <c r="B77" s="8" t="s">
        <v>165</v>
      </c>
      <c r="C77">
        <f t="shared" ca="1" si="50"/>
        <v>0</v>
      </c>
      <c r="D77">
        <f t="shared" ca="1" si="51"/>
        <v>0</v>
      </c>
      <c r="E77">
        <f t="shared" ca="1" si="52"/>
        <v>0</v>
      </c>
      <c r="F77">
        <f t="shared" ca="1" si="53"/>
        <v>0</v>
      </c>
      <c r="G77">
        <f t="shared" ca="1" si="54"/>
        <v>0</v>
      </c>
      <c r="H77">
        <f t="shared" ca="1" si="55"/>
        <v>0</v>
      </c>
      <c r="K77" s="25"/>
      <c r="L77" s="42"/>
      <c r="M77" s="42"/>
      <c r="N77" s="42"/>
      <c r="AN77" s="18"/>
      <c r="AO77" s="18"/>
    </row>
    <row r="78" spans="1:51" x14ac:dyDescent="0.25">
      <c r="A78">
        <v>8</v>
      </c>
      <c r="B78" s="8" t="s">
        <v>166</v>
      </c>
      <c r="C78">
        <f t="shared" ca="1" si="50"/>
        <v>0</v>
      </c>
      <c r="D78">
        <f t="shared" ca="1" si="51"/>
        <v>0</v>
      </c>
      <c r="E78">
        <f t="shared" ca="1" si="52"/>
        <v>0</v>
      </c>
      <c r="F78">
        <f t="shared" ca="1" si="53"/>
        <v>0</v>
      </c>
      <c r="G78">
        <f t="shared" ca="1" si="54"/>
        <v>0</v>
      </c>
      <c r="H78">
        <f t="shared" ca="1" si="55"/>
        <v>0</v>
      </c>
      <c r="L78" s="42"/>
      <c r="M78" s="42"/>
      <c r="N78" s="42"/>
      <c r="AN78" s="18"/>
      <c r="AO78" s="18"/>
    </row>
    <row r="79" spans="1:51" x14ac:dyDescent="0.25">
      <c r="A79">
        <v>9</v>
      </c>
      <c r="B79" s="8" t="s">
        <v>167</v>
      </c>
      <c r="C79">
        <f t="shared" ca="1" si="50"/>
        <v>0</v>
      </c>
      <c r="D79">
        <f t="shared" ca="1" si="51"/>
        <v>0</v>
      </c>
      <c r="E79">
        <f t="shared" ca="1" si="52"/>
        <v>0</v>
      </c>
      <c r="F79">
        <f t="shared" ca="1" si="53"/>
        <v>0</v>
      </c>
      <c r="G79">
        <f t="shared" ca="1" si="54"/>
        <v>0</v>
      </c>
      <c r="H79">
        <f t="shared" ca="1" si="55"/>
        <v>0</v>
      </c>
      <c r="AN79" s="18"/>
      <c r="AO79" s="18"/>
    </row>
    <row r="80" spans="1:51" x14ac:dyDescent="0.25">
      <c r="A80">
        <v>10</v>
      </c>
      <c r="B80" s="8" t="s">
        <v>168</v>
      </c>
      <c r="C80">
        <f t="shared" ca="1" si="50"/>
        <v>0</v>
      </c>
      <c r="D80">
        <f t="shared" ca="1" si="51"/>
        <v>0</v>
      </c>
      <c r="E80">
        <f t="shared" ca="1" si="52"/>
        <v>0</v>
      </c>
      <c r="F80">
        <f t="shared" ca="1" si="53"/>
        <v>0</v>
      </c>
      <c r="G80">
        <f t="shared" ca="1" si="54"/>
        <v>0</v>
      </c>
      <c r="H80">
        <f t="shared" ca="1" si="55"/>
        <v>0</v>
      </c>
      <c r="AN80" s="18"/>
      <c r="AO80" s="18"/>
    </row>
    <row r="81" spans="1:41" x14ac:dyDescent="0.25">
      <c r="A81">
        <v>11</v>
      </c>
      <c r="B81" s="8" t="s">
        <v>169</v>
      </c>
      <c r="C81">
        <f t="shared" ca="1" si="50"/>
        <v>0</v>
      </c>
      <c r="D81">
        <f t="shared" ca="1" si="51"/>
        <v>0</v>
      </c>
      <c r="E81">
        <f t="shared" ca="1" si="52"/>
        <v>0</v>
      </c>
      <c r="F81">
        <f t="shared" ca="1" si="53"/>
        <v>0</v>
      </c>
      <c r="G81">
        <f t="shared" ca="1" si="54"/>
        <v>0</v>
      </c>
      <c r="H81">
        <f t="shared" ca="1" si="55"/>
        <v>0</v>
      </c>
      <c r="AN81" s="18"/>
      <c r="AO81" s="18"/>
    </row>
    <row r="82" spans="1:41" x14ac:dyDescent="0.25">
      <c r="A82">
        <v>12</v>
      </c>
      <c r="B82" s="8" t="s">
        <v>170</v>
      </c>
      <c r="C82">
        <f t="shared" ca="1" si="50"/>
        <v>0</v>
      </c>
      <c r="D82">
        <f t="shared" ca="1" si="51"/>
        <v>0</v>
      </c>
      <c r="E82">
        <f t="shared" ca="1" si="52"/>
        <v>0</v>
      </c>
      <c r="F82">
        <f t="shared" ca="1" si="53"/>
        <v>0</v>
      </c>
      <c r="G82">
        <f t="shared" ca="1" si="54"/>
        <v>0</v>
      </c>
      <c r="H82">
        <f t="shared" ca="1" si="55"/>
        <v>0</v>
      </c>
      <c r="AN82" s="18"/>
      <c r="AO82" s="18"/>
    </row>
    <row r="83" spans="1:41" x14ac:dyDescent="0.25">
      <c r="A83">
        <v>13</v>
      </c>
      <c r="B83" s="8" t="s">
        <v>171</v>
      </c>
      <c r="C83">
        <f t="shared" ca="1" si="50"/>
        <v>0</v>
      </c>
      <c r="D83">
        <f t="shared" ca="1" si="51"/>
        <v>0</v>
      </c>
      <c r="E83">
        <f t="shared" ca="1" si="52"/>
        <v>0</v>
      </c>
      <c r="F83">
        <f t="shared" ca="1" si="53"/>
        <v>0</v>
      </c>
      <c r="G83">
        <f t="shared" ca="1" si="54"/>
        <v>0</v>
      </c>
      <c r="H83">
        <f t="shared" ca="1" si="55"/>
        <v>0</v>
      </c>
      <c r="AN83" s="18"/>
      <c r="AO83" s="18"/>
    </row>
    <row r="84" spans="1:41" x14ac:dyDescent="0.25">
      <c r="A84">
        <v>14</v>
      </c>
      <c r="B84" s="8" t="s">
        <v>172</v>
      </c>
      <c r="C84">
        <f t="shared" ca="1" si="50"/>
        <v>0</v>
      </c>
      <c r="D84">
        <f t="shared" ca="1" si="51"/>
        <v>0</v>
      </c>
      <c r="E84">
        <f t="shared" ca="1" si="52"/>
        <v>0</v>
      </c>
      <c r="F84">
        <f t="shared" ca="1" si="53"/>
        <v>0</v>
      </c>
      <c r="G84">
        <f t="shared" ca="1" si="54"/>
        <v>0</v>
      </c>
      <c r="H84">
        <f t="shared" ca="1" si="55"/>
        <v>0</v>
      </c>
      <c r="AN84" s="18"/>
      <c r="AO84" s="18"/>
    </row>
    <row r="85" spans="1:41" x14ac:dyDescent="0.25">
      <c r="A85">
        <v>15</v>
      </c>
      <c r="B85" s="8" t="s">
        <v>173</v>
      </c>
      <c r="C85">
        <f t="shared" ca="1" si="50"/>
        <v>0</v>
      </c>
      <c r="D85">
        <f t="shared" ca="1" si="51"/>
        <v>0</v>
      </c>
      <c r="E85">
        <f t="shared" ca="1" si="52"/>
        <v>0</v>
      </c>
      <c r="F85">
        <f t="shared" ca="1" si="53"/>
        <v>0</v>
      </c>
      <c r="G85">
        <f t="shared" ca="1" si="54"/>
        <v>0</v>
      </c>
      <c r="H85">
        <f t="shared" ca="1" si="55"/>
        <v>0</v>
      </c>
      <c r="K85" s="11"/>
      <c r="AN85" s="18"/>
      <c r="AO85" s="18"/>
    </row>
    <row r="86" spans="1:41" x14ac:dyDescent="0.25">
      <c r="A86">
        <v>16</v>
      </c>
      <c r="B86" s="8" t="s">
        <v>205</v>
      </c>
      <c r="C86">
        <f t="shared" ca="1" si="50"/>
        <v>0</v>
      </c>
      <c r="D86">
        <f t="shared" ca="1" si="51"/>
        <v>0</v>
      </c>
      <c r="E86">
        <f t="shared" ca="1" si="52"/>
        <v>0</v>
      </c>
      <c r="F86">
        <f t="shared" ca="1" si="53"/>
        <v>0</v>
      </c>
      <c r="G86">
        <f t="shared" ca="1" si="54"/>
        <v>0</v>
      </c>
      <c r="H86">
        <f t="shared" ca="1" si="55"/>
        <v>0</v>
      </c>
      <c r="AN86" s="18"/>
      <c r="AO86" s="18"/>
    </row>
    <row r="87" spans="1:41" x14ac:dyDescent="0.25">
      <c r="A87">
        <v>17</v>
      </c>
      <c r="B87" s="8" t="s">
        <v>206</v>
      </c>
      <c r="C87">
        <f t="shared" ca="1" si="50"/>
        <v>0</v>
      </c>
      <c r="D87">
        <f t="shared" ca="1" si="51"/>
        <v>0</v>
      </c>
      <c r="E87">
        <f t="shared" ca="1" si="52"/>
        <v>0</v>
      </c>
      <c r="F87">
        <f t="shared" ca="1" si="53"/>
        <v>0</v>
      </c>
      <c r="G87">
        <f t="shared" ca="1" si="54"/>
        <v>0</v>
      </c>
      <c r="H87">
        <f t="shared" ca="1" si="55"/>
        <v>0</v>
      </c>
      <c r="AN87" s="18"/>
      <c r="AO87" s="18"/>
    </row>
    <row r="88" spans="1:41" x14ac:dyDescent="0.25">
      <c r="A88">
        <v>18</v>
      </c>
      <c r="B88" s="8" t="s">
        <v>207</v>
      </c>
      <c r="C88">
        <f t="shared" ca="1" si="50"/>
        <v>0</v>
      </c>
      <c r="D88">
        <f t="shared" ca="1" si="51"/>
        <v>0</v>
      </c>
      <c r="E88">
        <f t="shared" ca="1" si="52"/>
        <v>0</v>
      </c>
      <c r="F88">
        <f t="shared" ca="1" si="53"/>
        <v>0</v>
      </c>
      <c r="G88">
        <f t="shared" ca="1" si="54"/>
        <v>0</v>
      </c>
      <c r="H88">
        <f t="shared" ca="1" si="55"/>
        <v>0</v>
      </c>
      <c r="AN88" s="18"/>
      <c r="AO88" s="18"/>
    </row>
    <row r="89" spans="1:41" x14ac:dyDescent="0.25">
      <c r="A89">
        <v>19</v>
      </c>
      <c r="B89" s="8" t="s">
        <v>208</v>
      </c>
      <c r="C89">
        <f t="shared" ca="1" si="50"/>
        <v>0</v>
      </c>
      <c r="D89">
        <f t="shared" ca="1" si="51"/>
        <v>0</v>
      </c>
      <c r="E89">
        <f t="shared" ca="1" si="52"/>
        <v>0</v>
      </c>
      <c r="F89">
        <f t="shared" ca="1" si="53"/>
        <v>0</v>
      </c>
      <c r="G89">
        <f t="shared" ca="1" si="54"/>
        <v>0</v>
      </c>
      <c r="H89">
        <f t="shared" ca="1" si="55"/>
        <v>0</v>
      </c>
      <c r="AN89" s="18"/>
      <c r="AO89" s="18"/>
    </row>
    <row r="90" spans="1:41" x14ac:dyDescent="0.25">
      <c r="A90">
        <v>20</v>
      </c>
      <c r="B90" s="8" t="s">
        <v>209</v>
      </c>
      <c r="C90">
        <f t="shared" ca="1" si="50"/>
        <v>0</v>
      </c>
      <c r="D90">
        <f t="shared" ca="1" si="51"/>
        <v>0</v>
      </c>
      <c r="E90">
        <f t="shared" ca="1" si="52"/>
        <v>0</v>
      </c>
      <c r="F90">
        <f t="shared" ca="1" si="53"/>
        <v>0</v>
      </c>
      <c r="G90">
        <f t="shared" ca="1" si="54"/>
        <v>0</v>
      </c>
      <c r="H90">
        <f t="shared" ca="1" si="55"/>
        <v>0</v>
      </c>
      <c r="AN90" s="18"/>
      <c r="AO90" s="18"/>
    </row>
    <row r="91" spans="1:41" x14ac:dyDescent="0.25">
      <c r="A91">
        <v>21</v>
      </c>
      <c r="B91" s="8" t="s">
        <v>210</v>
      </c>
      <c r="C91">
        <f t="shared" ca="1" si="50"/>
        <v>0</v>
      </c>
      <c r="D91">
        <f t="shared" ca="1" si="51"/>
        <v>0</v>
      </c>
      <c r="E91">
        <f t="shared" ca="1" si="52"/>
        <v>0</v>
      </c>
      <c r="F91">
        <f t="shared" ca="1" si="53"/>
        <v>0</v>
      </c>
      <c r="G91">
        <f t="shared" ca="1" si="54"/>
        <v>0</v>
      </c>
      <c r="H91">
        <f t="shared" ca="1" si="55"/>
        <v>0</v>
      </c>
      <c r="AN91" s="18"/>
      <c r="AO91" s="18"/>
    </row>
    <row r="92" spans="1:41" x14ac:dyDescent="0.25">
      <c r="A92">
        <v>22</v>
      </c>
      <c r="B92" s="8" t="s">
        <v>211</v>
      </c>
      <c r="C92">
        <f t="shared" ca="1" si="50"/>
        <v>0</v>
      </c>
      <c r="D92">
        <f t="shared" ca="1" si="51"/>
        <v>0</v>
      </c>
      <c r="E92">
        <f t="shared" ca="1" si="52"/>
        <v>0</v>
      </c>
      <c r="F92">
        <f t="shared" ca="1" si="53"/>
        <v>0</v>
      </c>
      <c r="G92">
        <f t="shared" ca="1" si="54"/>
        <v>0</v>
      </c>
      <c r="H92">
        <f t="shared" ca="1" si="55"/>
        <v>0</v>
      </c>
      <c r="AN92" s="18"/>
      <c r="AO92" s="18"/>
    </row>
    <row r="93" spans="1:41" x14ac:dyDescent="0.25">
      <c r="A93">
        <v>23</v>
      </c>
      <c r="B93" s="8" t="s">
        <v>212</v>
      </c>
      <c r="C93">
        <f t="shared" ca="1" si="50"/>
        <v>0</v>
      </c>
      <c r="D93">
        <f t="shared" ca="1" si="51"/>
        <v>0</v>
      </c>
      <c r="E93">
        <f t="shared" ca="1" si="52"/>
        <v>0</v>
      </c>
      <c r="F93">
        <f t="shared" ca="1" si="53"/>
        <v>0</v>
      </c>
      <c r="G93">
        <f t="shared" ca="1" si="54"/>
        <v>0</v>
      </c>
      <c r="H93">
        <f t="shared" ca="1" si="55"/>
        <v>0</v>
      </c>
      <c r="AN93" s="18"/>
      <c r="AO93" s="18"/>
    </row>
    <row r="94" spans="1:41" x14ac:dyDescent="0.25">
      <c r="A94">
        <v>24</v>
      </c>
      <c r="B94" s="8" t="s">
        <v>213</v>
      </c>
      <c r="C94">
        <f t="shared" ca="1" si="50"/>
        <v>0</v>
      </c>
      <c r="D94">
        <f t="shared" ca="1" si="51"/>
        <v>0</v>
      </c>
      <c r="E94">
        <f t="shared" ca="1" si="52"/>
        <v>0</v>
      </c>
      <c r="F94">
        <f t="shared" ca="1" si="53"/>
        <v>0</v>
      </c>
      <c r="G94">
        <f t="shared" ca="1" si="54"/>
        <v>0</v>
      </c>
      <c r="H94">
        <f t="shared" ca="1" si="55"/>
        <v>0</v>
      </c>
      <c r="AN94" s="18"/>
      <c r="AO94" s="18"/>
    </row>
    <row r="95" spans="1:41" x14ac:dyDescent="0.25">
      <c r="A95">
        <v>25</v>
      </c>
      <c r="B95" s="8" t="s">
        <v>214</v>
      </c>
      <c r="C95">
        <f t="shared" ca="1" si="50"/>
        <v>0</v>
      </c>
      <c r="D95">
        <f t="shared" ca="1" si="51"/>
        <v>0</v>
      </c>
      <c r="E95">
        <f t="shared" ca="1" si="52"/>
        <v>0</v>
      </c>
      <c r="F95">
        <f t="shared" ca="1" si="53"/>
        <v>0</v>
      </c>
      <c r="G95">
        <f t="shared" ca="1" si="54"/>
        <v>0</v>
      </c>
      <c r="H95">
        <f t="shared" ca="1" si="55"/>
        <v>0</v>
      </c>
      <c r="AN95" s="18"/>
      <c r="AO95" s="18"/>
    </row>
    <row r="101" spans="6:9" ht="19.5" thickBot="1" x14ac:dyDescent="0.3">
      <c r="F101" s="12"/>
      <c r="G101" s="12"/>
      <c r="H101" s="12"/>
      <c r="I101" s="12"/>
    </row>
    <row r="102" spans="6:9" ht="19.5" thickBot="1" x14ac:dyDescent="0.3">
      <c r="F102" s="12"/>
      <c r="G102" s="12"/>
      <c r="H102" s="12"/>
      <c r="I102" s="12"/>
    </row>
    <row r="103" spans="6:9" ht="19.5" thickBot="1" x14ac:dyDescent="0.3">
      <c r="F103" s="12"/>
      <c r="G103" s="12"/>
      <c r="H103" s="12"/>
      <c r="I103" s="12"/>
    </row>
    <row r="104" spans="6:9" ht="19.5" thickBot="1" x14ac:dyDescent="0.3">
      <c r="F104" s="12"/>
      <c r="G104" s="12"/>
      <c r="H104" s="12"/>
      <c r="I104" s="12"/>
    </row>
    <row r="105" spans="6:9" ht="19.5" thickBot="1" x14ac:dyDescent="0.3">
      <c r="F105" s="12"/>
      <c r="G105" s="12"/>
      <c r="H105" s="12"/>
      <c r="I105" s="12"/>
    </row>
    <row r="106" spans="6:9" ht="19.5" thickBot="1" x14ac:dyDescent="0.3">
      <c r="F106" s="12"/>
      <c r="G106" s="12"/>
      <c r="H106" s="12"/>
      <c r="I106" s="12"/>
    </row>
    <row r="107" spans="6:9" ht="19.5" thickBot="1" x14ac:dyDescent="0.3">
      <c r="F107" s="12"/>
      <c r="G107" s="12"/>
      <c r="H107" s="12"/>
      <c r="I107" s="12"/>
    </row>
    <row r="108" spans="6:9" ht="19.5" thickBot="1" x14ac:dyDescent="0.3">
      <c r="F108" s="12"/>
      <c r="G108" s="12"/>
      <c r="H108" s="12"/>
      <c r="I108" s="12"/>
    </row>
    <row r="109" spans="6:9" ht="19.5" thickBot="1" x14ac:dyDescent="0.3">
      <c r="F109" s="12"/>
      <c r="G109" s="12"/>
      <c r="H109" s="12"/>
      <c r="I109" s="12"/>
    </row>
    <row r="110" spans="6:9" ht="19.5" thickBot="1" x14ac:dyDescent="0.3">
      <c r="F110" s="12"/>
      <c r="G110" s="12"/>
      <c r="H110" s="12"/>
      <c r="I110" s="12"/>
    </row>
    <row r="111" spans="6:9" ht="19.5" thickBot="1" x14ac:dyDescent="0.3">
      <c r="F111" s="12"/>
      <c r="G111" s="12"/>
      <c r="H111" s="12"/>
      <c r="I111" s="12"/>
    </row>
    <row r="112" spans="6:9" ht="19.5" thickBot="1" x14ac:dyDescent="0.3">
      <c r="F112" s="12"/>
      <c r="G112" s="12"/>
      <c r="H112" s="12"/>
      <c r="I112" s="12"/>
    </row>
    <row r="113" spans="6:9" ht="19.5" thickBot="1" x14ac:dyDescent="0.3">
      <c r="F113" s="12"/>
      <c r="G113" s="12"/>
      <c r="H113" s="12"/>
      <c r="I113" s="12"/>
    </row>
    <row r="114" spans="6:9" ht="19.5" thickBot="1" x14ac:dyDescent="0.3">
      <c r="F114" s="12"/>
      <c r="G114" s="12"/>
      <c r="H114" s="12"/>
      <c r="I114" s="12"/>
    </row>
    <row r="115" spans="6:9" ht="19.5" thickBot="1" x14ac:dyDescent="0.3">
      <c r="F115" s="12"/>
      <c r="G115" s="12"/>
      <c r="H115" s="12"/>
      <c r="I115" s="12"/>
    </row>
    <row r="116" spans="6:9" ht="19.5" thickBot="1" x14ac:dyDescent="0.3">
      <c r="F116" s="12"/>
      <c r="G116" s="12"/>
      <c r="H116" s="12"/>
      <c r="I116" s="12"/>
    </row>
    <row r="117" spans="6:9" ht="19.5" thickBot="1" x14ac:dyDescent="0.3">
      <c r="F117" s="12"/>
      <c r="G117" s="12"/>
      <c r="H117" s="12"/>
      <c r="I117" s="12"/>
    </row>
    <row r="118" spans="6:9" ht="19.5" thickBot="1" x14ac:dyDescent="0.3">
      <c r="F118" s="12"/>
      <c r="G118" s="12"/>
      <c r="H118" s="12"/>
      <c r="I118" s="12"/>
    </row>
    <row r="119" spans="6:9" ht="19.5" thickBot="1" x14ac:dyDescent="0.3">
      <c r="F119" s="12"/>
      <c r="G119" s="12"/>
      <c r="H119" s="12"/>
      <c r="I119" s="12"/>
    </row>
    <row r="120" spans="6:9" ht="19.5" thickBot="1" x14ac:dyDescent="0.3">
      <c r="F120" s="12"/>
      <c r="G120" s="12"/>
      <c r="H120" s="12"/>
      <c r="I120" s="12"/>
    </row>
    <row r="121" spans="6:9" ht="19.5" thickBot="1" x14ac:dyDescent="0.3">
      <c r="F121" s="12"/>
      <c r="G121" s="12"/>
      <c r="H121" s="12"/>
      <c r="I121" s="12"/>
    </row>
    <row r="122" spans="6:9" ht="19.5" thickBot="1" x14ac:dyDescent="0.3">
      <c r="F122" s="12"/>
      <c r="G122" s="12"/>
      <c r="H122" s="12"/>
      <c r="I122" s="12"/>
    </row>
    <row r="123" spans="6:9" ht="19.5" thickBot="1" x14ac:dyDescent="0.3">
      <c r="F123" s="12"/>
      <c r="G123" s="12"/>
      <c r="H123" s="12"/>
      <c r="I123" s="12"/>
    </row>
    <row r="124" spans="6:9" ht="19.5" thickBot="1" x14ac:dyDescent="0.3">
      <c r="F124" s="12"/>
      <c r="G124" s="12"/>
      <c r="H124" s="12"/>
      <c r="I124" s="12"/>
    </row>
    <row r="125" spans="6:9" ht="19.5" thickBot="1" x14ac:dyDescent="0.3">
      <c r="F125" s="12"/>
      <c r="G125" s="12"/>
      <c r="H125" s="12"/>
      <c r="I125" s="12"/>
    </row>
    <row r="126" spans="6:9" ht="19.5" thickBot="1" x14ac:dyDescent="0.3">
      <c r="F126" s="12"/>
      <c r="G126" s="12"/>
      <c r="H126" s="12"/>
      <c r="I126" s="12"/>
    </row>
    <row r="127" spans="6:9" ht="19.5" thickBot="1" x14ac:dyDescent="0.3">
      <c r="F127" s="12"/>
      <c r="G127" s="12"/>
      <c r="H127" s="12"/>
      <c r="I127" s="12"/>
    </row>
    <row r="128" spans="6:9" ht="19.5" thickBot="1" x14ac:dyDescent="0.3">
      <c r="F128" s="12"/>
      <c r="G128" s="12"/>
      <c r="H128" s="12"/>
      <c r="I128" s="12"/>
    </row>
    <row r="129" spans="6:9" ht="19.5" thickBot="1" x14ac:dyDescent="0.3">
      <c r="F129" s="12"/>
      <c r="G129" s="12"/>
      <c r="H129" s="12"/>
      <c r="I129" s="12"/>
    </row>
    <row r="130" spans="6:9" ht="19.5" thickBot="1" x14ac:dyDescent="0.3">
      <c r="F130" s="12"/>
      <c r="G130" s="12"/>
      <c r="H130" s="12"/>
      <c r="I130" s="12"/>
    </row>
    <row r="131" spans="6:9" ht="19.5" thickBot="1" x14ac:dyDescent="0.3">
      <c r="F131" s="12"/>
      <c r="G131" s="12"/>
      <c r="H131" s="12"/>
      <c r="I131" s="12"/>
    </row>
    <row r="132" spans="6:9" ht="19.5" thickBot="1" x14ac:dyDescent="0.3">
      <c r="F132" s="12"/>
      <c r="G132" s="12"/>
      <c r="H132" s="12"/>
      <c r="I132" s="12"/>
    </row>
    <row r="133" spans="6:9" ht="19.5" thickBot="1" x14ac:dyDescent="0.3">
      <c r="F133" s="12"/>
      <c r="G133" s="12"/>
      <c r="H133" s="12"/>
      <c r="I133" s="12"/>
    </row>
    <row r="134" spans="6:9" ht="19.5" thickBot="1" x14ac:dyDescent="0.3">
      <c r="F134" s="12"/>
      <c r="G134" s="12"/>
      <c r="H134" s="12"/>
      <c r="I134" s="12"/>
    </row>
    <row r="135" spans="6:9" ht="19.5" thickBot="1" x14ac:dyDescent="0.3">
      <c r="F135" s="12"/>
      <c r="G135" s="12"/>
      <c r="H135" s="12"/>
      <c r="I135" s="12"/>
    </row>
    <row r="136" spans="6:9" ht="19.5" thickBot="1" x14ac:dyDescent="0.3">
      <c r="F136" s="12"/>
      <c r="G136" s="12"/>
      <c r="H136" s="12"/>
      <c r="I136" s="12"/>
    </row>
    <row r="137" spans="6:9" ht="19.5" thickBot="1" x14ac:dyDescent="0.3">
      <c r="F137" s="12"/>
      <c r="G137" s="12"/>
      <c r="H137" s="12"/>
      <c r="I137" s="12"/>
    </row>
    <row r="138" spans="6:9" ht="19.5" thickBot="1" x14ac:dyDescent="0.3">
      <c r="F138" s="12"/>
      <c r="G138" s="12"/>
      <c r="H138" s="12"/>
      <c r="I138" s="12"/>
    </row>
    <row r="139" spans="6:9" ht="19.5" thickBot="1" x14ac:dyDescent="0.3">
      <c r="F139" s="12"/>
      <c r="G139" s="12"/>
      <c r="H139" s="12"/>
      <c r="I139" s="12"/>
    </row>
    <row r="140" spans="6:9" ht="19.5" thickBot="1" x14ac:dyDescent="0.3">
      <c r="F140" s="12"/>
      <c r="G140" s="12"/>
      <c r="H140" s="12"/>
      <c r="I140" s="12"/>
    </row>
    <row r="141" spans="6:9" ht="19.5" thickBot="1" x14ac:dyDescent="0.3">
      <c r="F141" s="12"/>
      <c r="G141" s="12"/>
      <c r="H141" s="12"/>
      <c r="I141" s="12"/>
    </row>
    <row r="142" spans="6:9" ht="19.5" thickBot="1" x14ac:dyDescent="0.3">
      <c r="F142" s="12"/>
      <c r="G142" s="12"/>
      <c r="H142" s="12"/>
      <c r="I142" s="12"/>
    </row>
    <row r="143" spans="6:9" ht="19.5" thickBot="1" x14ac:dyDescent="0.3">
      <c r="F143" s="12"/>
      <c r="G143" s="12"/>
      <c r="H143" s="12"/>
      <c r="I143" s="12"/>
    </row>
    <row r="144" spans="6:9" ht="19.5" thickBot="1" x14ac:dyDescent="0.3">
      <c r="F144" s="12"/>
      <c r="G144" s="12"/>
      <c r="H144" s="12"/>
      <c r="I144" s="12"/>
    </row>
    <row r="145" spans="6:9" ht="19.5" thickBot="1" x14ac:dyDescent="0.3">
      <c r="F145" s="12"/>
      <c r="G145" s="12"/>
      <c r="H145" s="12"/>
      <c r="I145" s="12"/>
    </row>
    <row r="146" spans="6:9" ht="19.5" thickBot="1" x14ac:dyDescent="0.3">
      <c r="F146" s="12"/>
      <c r="G146" s="12"/>
      <c r="H146" s="12"/>
      <c r="I146" s="12"/>
    </row>
    <row r="147" spans="6:9" ht="19.5" thickBot="1" x14ac:dyDescent="0.3">
      <c r="F147" s="12"/>
      <c r="G147" s="12"/>
      <c r="H147" s="12"/>
      <c r="I147" s="12"/>
    </row>
    <row r="148" spans="6:9" ht="19.5" thickBot="1" x14ac:dyDescent="0.3">
      <c r="F148" s="12"/>
      <c r="G148" s="12"/>
      <c r="H148" s="12"/>
      <c r="I148" s="12"/>
    </row>
    <row r="149" spans="6:9" ht="19.5" thickBot="1" x14ac:dyDescent="0.3">
      <c r="F149" s="12"/>
      <c r="G149" s="12"/>
      <c r="H149" s="12"/>
      <c r="I149" s="12"/>
    </row>
    <row r="150" spans="6:9" ht="19.5" thickBot="1" x14ac:dyDescent="0.3">
      <c r="F150" s="12"/>
      <c r="G150" s="12"/>
      <c r="H150" s="12"/>
      <c r="I150" s="12"/>
    </row>
    <row r="151" spans="6:9" ht="19.5" thickBot="1" x14ac:dyDescent="0.3">
      <c r="F151" s="12"/>
      <c r="G151" s="12"/>
      <c r="H151" s="12"/>
      <c r="I151" s="12"/>
    </row>
    <row r="152" spans="6:9" ht="19.5" thickBot="1" x14ac:dyDescent="0.3">
      <c r="F152" s="12"/>
      <c r="G152" s="12"/>
      <c r="H152" s="12"/>
      <c r="I152" s="12"/>
    </row>
    <row r="153" spans="6:9" ht="19.5" thickBot="1" x14ac:dyDescent="0.3">
      <c r="F153" s="12"/>
      <c r="G153" s="12"/>
      <c r="H153" s="12"/>
      <c r="I153" s="12"/>
    </row>
    <row r="154" spans="6:9" ht="19.5" thickBot="1" x14ac:dyDescent="0.3">
      <c r="F154" s="12"/>
      <c r="G154" s="12"/>
      <c r="H154" s="12"/>
      <c r="I154" s="12"/>
    </row>
    <row r="155" spans="6:9" ht="19.5" thickBot="1" x14ac:dyDescent="0.3">
      <c r="F155" s="12"/>
      <c r="G155" s="12"/>
      <c r="H155" s="12"/>
      <c r="I155" s="12"/>
    </row>
    <row r="156" spans="6:9" ht="19.5" thickBot="1" x14ac:dyDescent="0.3">
      <c r="F156" s="12"/>
      <c r="G156" s="12"/>
      <c r="H156" s="12"/>
      <c r="I156" s="12"/>
    </row>
    <row r="157" spans="6:9" ht="19.5" thickBot="1" x14ac:dyDescent="0.3">
      <c r="F157" s="12"/>
      <c r="G157" s="12"/>
      <c r="H157" s="12"/>
      <c r="I157" s="12"/>
    </row>
    <row r="158" spans="6:9" ht="19.5" thickBot="1" x14ac:dyDescent="0.3">
      <c r="F158" s="12"/>
      <c r="G158" s="12"/>
      <c r="H158" s="12"/>
      <c r="I158" s="12"/>
    </row>
    <row r="159" spans="6:9" ht="19.5" thickBot="1" x14ac:dyDescent="0.3">
      <c r="F159" s="12"/>
      <c r="G159" s="12"/>
      <c r="H159" s="12"/>
      <c r="I159" s="12"/>
    </row>
    <row r="160" spans="6:9" ht="19.5" thickBot="1" x14ac:dyDescent="0.3">
      <c r="F160" s="12"/>
      <c r="G160" s="12"/>
      <c r="H160" s="12"/>
      <c r="I160" s="12"/>
    </row>
    <row r="161" spans="6:9" ht="19.5" thickBot="1" x14ac:dyDescent="0.3">
      <c r="F161" s="12"/>
      <c r="G161" s="12"/>
      <c r="H161" s="12"/>
      <c r="I161" s="12"/>
    </row>
    <row r="162" spans="6:9" ht="19.5" thickBot="1" x14ac:dyDescent="0.3">
      <c r="F162" s="12"/>
      <c r="G162" s="12"/>
      <c r="H162" s="12"/>
      <c r="I162" s="12"/>
    </row>
    <row r="163" spans="6:9" ht="19.5" thickBot="1" x14ac:dyDescent="0.3">
      <c r="F163" s="12"/>
      <c r="G163" s="12"/>
      <c r="H163" s="12"/>
      <c r="I163" s="12"/>
    </row>
    <row r="164" spans="6:9" ht="19.5" thickBot="1" x14ac:dyDescent="0.3">
      <c r="F164" s="12"/>
      <c r="G164" s="12"/>
      <c r="H164" s="12"/>
      <c r="I164" s="12"/>
    </row>
    <row r="165" spans="6:9" ht="19.5" thickBot="1" x14ac:dyDescent="0.3">
      <c r="F165" s="12"/>
      <c r="G165" s="12"/>
      <c r="H165" s="12"/>
      <c r="I165" s="12"/>
    </row>
    <row r="166" spans="6:9" ht="19.5" thickBot="1" x14ac:dyDescent="0.3">
      <c r="F166" s="12"/>
      <c r="G166" s="12"/>
      <c r="H166" s="12"/>
      <c r="I166" s="12"/>
    </row>
    <row r="167" spans="6:9" ht="19.5" thickBot="1" x14ac:dyDescent="0.3">
      <c r="F167" s="12"/>
      <c r="G167" s="12"/>
      <c r="H167" s="12"/>
      <c r="I167" s="12"/>
    </row>
    <row r="168" spans="6:9" ht="19.5" thickBot="1" x14ac:dyDescent="0.3">
      <c r="F168" s="12"/>
      <c r="G168" s="12"/>
      <c r="H168" s="12"/>
      <c r="I168" s="12"/>
    </row>
    <row r="169" spans="6:9" ht="19.5" thickBot="1" x14ac:dyDescent="0.3">
      <c r="F169" s="12"/>
      <c r="G169" s="12"/>
      <c r="H169" s="12"/>
      <c r="I169" s="12"/>
    </row>
  </sheetData>
  <mergeCells count="27">
    <mergeCell ref="A70:B70"/>
    <mergeCell ref="L74:N78"/>
    <mergeCell ref="AX1:AY1"/>
    <mergeCell ref="AV1:AW1"/>
    <mergeCell ref="AT1:AU1"/>
    <mergeCell ref="AR1:AS1"/>
    <mergeCell ref="AP1:AQ1"/>
    <mergeCell ref="AN1:AO1"/>
    <mergeCell ref="AL1:AM1"/>
    <mergeCell ref="AJ1:AK1"/>
    <mergeCell ref="AH1:AI1"/>
    <mergeCell ref="AF1:AG1"/>
    <mergeCell ref="AD1:AE1"/>
    <mergeCell ref="AB1:AC1"/>
    <mergeCell ref="Z1:AA1"/>
    <mergeCell ref="X1:Y1"/>
    <mergeCell ref="V1:W1"/>
    <mergeCell ref="T1:U1"/>
    <mergeCell ref="R1:S1"/>
    <mergeCell ref="P1:Q1"/>
    <mergeCell ref="N1:O1"/>
    <mergeCell ref="B1:C1"/>
    <mergeCell ref="L1:M1"/>
    <mergeCell ref="J1:K1"/>
    <mergeCell ref="H1:I1"/>
    <mergeCell ref="F1:G1"/>
    <mergeCell ref="D1:E1"/>
  </mergeCells>
  <phoneticPr fontId="3" type="noConversion"/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uildMINGO">
                <anchor moveWithCells="1" sizeWithCells="1">
                  <from>
                    <xdr:col>16</xdr:col>
                    <xdr:colOff>361950</xdr:colOff>
                    <xdr:row>70</xdr:row>
                    <xdr:rowOff>0</xdr:rowOff>
                  </from>
                  <to>
                    <xdr:col>21</xdr:col>
                    <xdr:colOff>0</xdr:colOff>
                    <xdr:row>75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70A9A-C889-42BB-9C8E-B24E874E3797}">
  <sheetPr codeName="Template">
    <tabColor theme="0" tint="-0.34998626667073579"/>
  </sheetPr>
  <dimension ref="A1:E6"/>
  <sheetViews>
    <sheetView workbookViewId="0">
      <selection sqref="A1:E5"/>
    </sheetView>
  </sheetViews>
  <sheetFormatPr defaultColWidth="19.42578125" defaultRowHeight="96" customHeight="1" x14ac:dyDescent="0.25"/>
  <sheetData>
    <row r="1" spans="1:5" ht="96" customHeight="1" x14ac:dyDescent="0.25">
      <c r="A1" s="3" t="str">
        <f>INDEX(Disney,INDEX(indices,(1-1)*5+1,50))</f>
        <v>Fantasmic!</v>
      </c>
      <c r="B1" s="3" t="str">
        <f>INDEX(Disney,INDEX(indices,(1-1)*5+2,50))</f>
        <v>A Whole New World</v>
      </c>
      <c r="C1" s="3" t="str">
        <f>INDEX(Disney,INDEX(indices,(1-1)*5+3,50))</f>
        <v>Touch the Sky</v>
      </c>
      <c r="D1" s="3" t="str">
        <f>INDEX(Disney,INDEX(indices,(1-1)*5+4,50))</f>
        <v>Love</v>
      </c>
      <c r="E1" s="3" t="str">
        <f>INDEX(Disney,INDEX(indices,(1-1)*5+5,50))</f>
        <v>Dig a Little Deeper</v>
      </c>
    </row>
    <row r="2" spans="1:5" ht="96" customHeight="1" x14ac:dyDescent="0.25">
      <c r="A2" s="3" t="str">
        <f>INDEX(Disney,INDEX(indices,(2-1)*5+1,50))</f>
        <v>Iron Man</v>
      </c>
      <c r="B2" s="3" t="str">
        <f>INDEX(Disney,INDEX(indices,(2-1)*5+2,50))</f>
        <v>When You Wish Upon a Star</v>
      </c>
      <c r="C2" s="3" t="str">
        <f>INDEX(Disney,INDEX(indices,(2-1)*5+3,50))</f>
        <v>Back In the Saddle</v>
      </c>
      <c r="D2" s="3" t="str">
        <f>INDEX(Disney,INDEX(indices,(2-1)*5+4,50))</f>
        <v>One Little Spark</v>
      </c>
      <c r="E2" s="3" t="str">
        <f>INDEX(Disney,INDEX(indices,(2-1)*5+5,50))</f>
        <v>Life Is a Highway</v>
      </c>
    </row>
    <row r="3" spans="1:5" ht="96" customHeight="1" x14ac:dyDescent="0.25">
      <c r="A3" s="3" t="str">
        <f>INDEX(Disney,INDEX(indices,(3-1)*5+1,50))</f>
        <v>Winnie the Pooh</v>
      </c>
      <c r="B3" s="3" t="str">
        <f>INDEX(Disney,INDEX(indices,(3-1)*5+2,50))</f>
        <v>That's the Life</v>
      </c>
      <c r="C3" s="3" t="str">
        <f>INDEX(Disney,INDEX(indices,(3-1)*5+3,50))</f>
        <v>Mickey Mouse Club March</v>
      </c>
      <c r="D3" s="3" t="str">
        <f>INDEX(Disney,INDEX(indices,(3-1)*5+4,50))</f>
        <v>Zero</v>
      </c>
      <c r="E3" s="3" t="str">
        <f>INDEX(Disney,INDEX(indices,(3-1)*5+5,50))</f>
        <v>We're All In This Together</v>
      </c>
    </row>
    <row r="4" spans="1:5" ht="96" customHeight="1" x14ac:dyDescent="0.25">
      <c r="A4" s="3" t="str">
        <f>INDEX(Disney,INDEX(indices,(4-1)*5+1,50))</f>
        <v>You'll Be In My Heart</v>
      </c>
      <c r="B4" s="3" t="str">
        <f>INDEX(Disney,INDEX(indices,(4-1)*5+2,50))</f>
        <v>Hakuna Matata</v>
      </c>
      <c r="C4" s="3" t="str">
        <f>INDEX(Disney,INDEX(indices,(4-1)*5+3,50))</f>
        <v>Flitterin'</v>
      </c>
      <c r="D4" s="3" t="str">
        <f>INDEX(Disney,INDEX(indices,(4-1)*5+4,50))</f>
        <v>After Today</v>
      </c>
      <c r="E4" s="3" t="str">
        <f>INDEX(Disney,INDEX(indices,(4-1)*5+5,50))</f>
        <v>The Imperial March</v>
      </c>
    </row>
    <row r="5" spans="1:5" ht="96" customHeight="1" x14ac:dyDescent="0.25">
      <c r="A5" s="3" t="str">
        <f>INDEX(Disney,INDEX(indices,(5-1)*5+1,50))</f>
        <v>A Pirate's Life</v>
      </c>
      <c r="B5" s="3" t="str">
        <f>INDEX(Disney,INDEX(indices,(5-1)*5+2,50))</f>
        <v>Heigh-Ho</v>
      </c>
      <c r="C5" s="3" t="str">
        <f>INDEX(Disney,INDEX(indices,(5-1)*5+3,50))</f>
        <v>DuckTales</v>
      </c>
      <c r="D5" s="3" t="str">
        <f>INDEX(Disney,INDEX(indices,(5-1)*5+4,50))</f>
        <v>Summer Belongs to You</v>
      </c>
      <c r="E5" s="3" t="str">
        <f>INDEX(Disney,INDEX(indices,(5-1)*5+5,50))</f>
        <v>Just Like Fire</v>
      </c>
    </row>
    <row r="6" spans="1:5" ht="16.5" customHeight="1" x14ac:dyDescent="0.25">
      <c r="A6" s="4" t="str">
        <f ca="1">"Board #"&amp;_xlfn.SHEET()-2</f>
        <v>Board #1</v>
      </c>
      <c r="B6" s="5"/>
      <c r="C6" s="6"/>
      <c r="D6" s="6"/>
      <c r="E6" s="6"/>
    </row>
  </sheetData>
  <conditionalFormatting sqref="A1:E5">
    <cfRule type="expression" dxfId="50" priority="1" stopIfTrue="1">
      <formula>LOWER(INDEX(Disney_Played,MATCH(A1,Disney,0)))="x"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2B41B-A367-427B-B47C-2D65170A1CC2}">
  <sheetPr codeName="Sheet3">
    <tabColor theme="1"/>
  </sheetPr>
  <dimension ref="A1"/>
  <sheetViews>
    <sheetView workbookViewId="0">
      <selection activeCell="E39" sqref="E39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2156C-FABC-470E-8F3B-C6E262B3B484}">
  <sheetPr codeName="Sheet4"/>
  <dimension ref="A1:E14"/>
  <sheetViews>
    <sheetView workbookViewId="0">
      <selection activeCell="A9" sqref="A9:E13"/>
    </sheetView>
  </sheetViews>
  <sheetFormatPr defaultColWidth="17.7109375" defaultRowHeight="93" customHeight="1" x14ac:dyDescent="0.25"/>
  <sheetData>
    <row r="1" spans="1:5" ht="93" customHeight="1" x14ac:dyDescent="0.25">
      <c r="A1" s="43" t="s">
        <v>230</v>
      </c>
      <c r="B1" s="43"/>
      <c r="C1" s="43"/>
      <c r="D1" s="43"/>
      <c r="E1" s="43"/>
    </row>
    <row r="2" spans="1:5" ht="93" customHeight="1" x14ac:dyDescent="0.25">
      <c r="A2" s="3" t="str">
        <f>INDEX(Disney,INDEX(indices,(1-1)*5+1,1))</f>
        <v>Dig a Little Deeper</v>
      </c>
      <c r="B2" s="3" t="str">
        <f>INDEX(Disney,INDEX(indices,(1-1)*5+2,1))</f>
        <v>Life Is a Highway</v>
      </c>
      <c r="C2" s="3" t="str">
        <f>INDEX(Disney,INDEX(indices,(1-1)*5+3,1))</f>
        <v>The Tiki, Tiki, Tiki Room</v>
      </c>
      <c r="D2" s="3" t="str">
        <f>INDEX(Disney,INDEX(indices,(1-1)*5+4,1))</f>
        <v>You've Got a Friend in Me</v>
      </c>
      <c r="E2" s="3" t="str">
        <f>INDEX(Disney,INDEX(indices,(1-1)*5+5,1))</f>
        <v>Hakuna Matata</v>
      </c>
    </row>
    <row r="3" spans="1:5" ht="93" customHeight="1" x14ac:dyDescent="0.25">
      <c r="A3" s="3" t="str">
        <f>INDEX(Disney,INDEX(indices,(2-1)*5+1,1))</f>
        <v>Summer Belongs to You</v>
      </c>
      <c r="B3" s="3" t="str">
        <f>INDEX(Disney,INDEX(indices,(2-1)*5+2,1))</f>
        <v>When You Wish Upon a Star</v>
      </c>
      <c r="C3" s="3" t="str">
        <f>INDEX(Disney,INDEX(indices,(2-1)*5+3,1))</f>
        <v>The Twilight Zone Tower of Terror</v>
      </c>
      <c r="D3" s="3" t="str">
        <f>INDEX(Disney,INDEX(indices,(2-1)*5+4,1))</f>
        <v>Why Should I Worry</v>
      </c>
      <c r="E3" s="3" t="str">
        <f>INDEX(Disney,INDEX(indices,(2-1)*5+5,1))</f>
        <v>It's All Right</v>
      </c>
    </row>
    <row r="4" spans="1:5" ht="93" customHeight="1" x14ac:dyDescent="0.25">
      <c r="A4" s="3" t="str">
        <f>INDEX(Disney,INDEX(indices,(3-1)*5+1,1))</f>
        <v>The Imperial March</v>
      </c>
      <c r="B4" s="3" t="str">
        <f>INDEX(Disney,INDEX(indices,(3-1)*5+2,1))</f>
        <v>Love</v>
      </c>
      <c r="C4" s="3" t="str">
        <f>INDEX(Disney,INDEX(indices,(3-1)*5+3,1))</f>
        <v>Just Keep Swimming</v>
      </c>
      <c r="D4" s="3" t="str">
        <f>INDEX(Disney,INDEX(indices,(3-1)*5+4,1))</f>
        <v>Flitterin'</v>
      </c>
      <c r="E4" s="3" t="str">
        <f>INDEX(Disney,INDEX(indices,(3-1)*5+5,1))</f>
        <v>Soarin'</v>
      </c>
    </row>
    <row r="5" spans="1:5" ht="93" customHeight="1" x14ac:dyDescent="0.25">
      <c r="A5" s="3" t="str">
        <f>INDEX(Disney,INDEX(indices,(4-1)*5+1,1))</f>
        <v>Wall-E</v>
      </c>
      <c r="B5" s="3" t="str">
        <f>INDEX(Disney,INDEX(indices,(4-1)*5+2,1))</f>
        <v>Once Upon a Dream</v>
      </c>
      <c r="C5" s="3" t="str">
        <f>INDEX(Disney,INDEX(indices,(4-1)*5+3,1))</f>
        <v>Cantina Band</v>
      </c>
      <c r="D5" s="3" t="str">
        <f>INDEX(Disney,INDEX(indices,(4-1)*5+4,1))</f>
        <v>Thomas O'Malley Cat</v>
      </c>
      <c r="E5" s="3" t="str">
        <f>INDEX(Disney,INDEX(indices,(4-1)*5+5,1))</f>
        <v>Mickey Mouse Club March</v>
      </c>
    </row>
    <row r="6" spans="1:5" ht="93" customHeight="1" x14ac:dyDescent="0.25">
      <c r="A6" s="3" t="str">
        <f>INDEX(Disney,INDEX(indices,(5-1)*5+1,1))</f>
        <v>A Whole New World</v>
      </c>
      <c r="B6" s="3" t="str">
        <f>INDEX(Disney,INDEX(indices,(5-1)*5+2,1))</f>
        <v>Remember Me</v>
      </c>
      <c r="C6" s="3" t="str">
        <f>INDEX(Disney,INDEX(indices,(5-1)*5+3,1))</f>
        <v>One Little Spark</v>
      </c>
      <c r="D6" s="3" t="str">
        <f>INDEX(Disney,INDEX(indices,(5-1)*5+4,1))</f>
        <v>Touch the Sky</v>
      </c>
      <c r="E6" s="3" t="str">
        <f>INDEX(Disney,INDEX(indices,(5-1)*5+5,1))</f>
        <v>If I Didn't Have You</v>
      </c>
    </row>
    <row r="7" spans="1:5" ht="93" customHeight="1" x14ac:dyDescent="0.25">
      <c r="A7" s="39"/>
      <c r="B7" s="39" t="s">
        <v>159</v>
      </c>
      <c r="C7" s="39" t="s">
        <v>294</v>
      </c>
      <c r="D7" s="39" t="s">
        <v>295</v>
      </c>
      <c r="E7" s="39"/>
    </row>
    <row r="8" spans="1:5" ht="93" customHeight="1" x14ac:dyDescent="0.25">
      <c r="A8" s="43" t="s">
        <v>230</v>
      </c>
      <c r="B8" s="43"/>
      <c r="C8" s="43"/>
      <c r="D8" s="43"/>
      <c r="E8" s="43"/>
    </row>
    <row r="9" spans="1:5" ht="93" customHeight="1" x14ac:dyDescent="0.25">
      <c r="A9" s="3" t="str">
        <f>INDEX(Disney,INDEX(indices,(1-1)*5+1,2))</f>
        <v>That's the Life</v>
      </c>
      <c r="B9" s="3" t="str">
        <f>INDEX(Disney,INDEX(indices,(1-1)*5+2,2))</f>
        <v>Hakuna Matata</v>
      </c>
      <c r="C9" s="3" t="str">
        <f>INDEX(Disney,INDEX(indices,(1-1)*5+3,2))</f>
        <v>All Aboard</v>
      </c>
      <c r="D9" s="3" t="str">
        <f>INDEX(Disney,INDEX(indices,(1-1)*5+4,2))</f>
        <v>Cantina Band</v>
      </c>
      <c r="E9" s="3" t="str">
        <f>INDEX(Disney,INDEX(indices,(1-1)*5+5,2))</f>
        <v>Thomas O'Malley Cat</v>
      </c>
    </row>
    <row r="10" spans="1:5" ht="93" customHeight="1" x14ac:dyDescent="0.25">
      <c r="A10" s="3" t="str">
        <f>INDEX(Disney,INDEX(indices,(2-1)*5+1,2))</f>
        <v>Why Should I Worry</v>
      </c>
      <c r="B10" s="3" t="str">
        <f>INDEX(Disney,INDEX(indices,(2-1)*5+2,2))</f>
        <v>The Twilight Zone Tower of Terror</v>
      </c>
      <c r="C10" s="3" t="str">
        <f>INDEX(Disney,INDEX(indices,(2-1)*5+3,2))</f>
        <v>How Far I'll Go</v>
      </c>
      <c r="D10" s="3" t="str">
        <f>INDEX(Disney,INDEX(indices,(2-1)*5+4,2))</f>
        <v>Oggie Boogie's Song</v>
      </c>
      <c r="E10" s="3" t="str">
        <f>INDEX(Disney,INDEX(indices,(2-1)*5+5,2))</f>
        <v>You'll Be In My Heart</v>
      </c>
    </row>
    <row r="11" spans="1:5" ht="93" customHeight="1" x14ac:dyDescent="0.25">
      <c r="A11" s="3" t="str">
        <f>INDEX(Disney,INDEX(indices,(3-1)*5+1,2))</f>
        <v>It's a Small World</v>
      </c>
      <c r="B11" s="3" t="str">
        <f>INDEX(Disney,INDEX(indices,(3-1)*5+2,2))</f>
        <v>Iron Man</v>
      </c>
      <c r="C11" s="3" t="str">
        <f>INDEX(Disney,INDEX(indices,(3-1)*5+3,2))</f>
        <v>When You Wish Upon a Star</v>
      </c>
      <c r="D11" s="3" t="str">
        <f>INDEX(Disney,INDEX(indices,(3-1)*5+4,2))</f>
        <v>Dig a Little Deeper</v>
      </c>
      <c r="E11" s="3" t="str">
        <f>INDEX(Disney,INDEX(indices,(3-1)*5+5,2))</f>
        <v>Remember Me</v>
      </c>
    </row>
    <row r="12" spans="1:5" ht="93" customHeight="1" x14ac:dyDescent="0.25">
      <c r="A12" s="3" t="str">
        <f>INDEX(Disney,INDEX(indices,(4-1)*5+1,2))</f>
        <v>The Tiki, Tiki, Tiki Room</v>
      </c>
      <c r="B12" s="3" t="str">
        <f>INDEX(Disney,INDEX(indices,(4-1)*5+2,2))</f>
        <v>The Imperial March</v>
      </c>
      <c r="C12" s="3" t="str">
        <f>INDEX(Disney,INDEX(indices,(4-1)*5+3,2))</f>
        <v>Wall-E</v>
      </c>
      <c r="D12" s="3" t="str">
        <f>INDEX(Disney,INDEX(indices,(4-1)*5+4,2))</f>
        <v>Steamboat Willie</v>
      </c>
      <c r="E12" s="3" t="str">
        <f>INDEX(Disney,INDEX(indices,(4-1)*5+5,2))</f>
        <v>Zero</v>
      </c>
    </row>
    <row r="13" spans="1:5" ht="93" customHeight="1" x14ac:dyDescent="0.25">
      <c r="A13" s="3" t="str">
        <f>INDEX(Disney,INDEX(indices,(5-1)*5+1,2))</f>
        <v>A Pirate's Life</v>
      </c>
      <c r="B13" s="3" t="str">
        <f>INDEX(Disney,INDEX(indices,(5-1)*5+2,2))</f>
        <v>Flitterin'</v>
      </c>
      <c r="C13" s="3" t="str">
        <f>INDEX(Disney,INDEX(indices,(5-1)*5+3,2))</f>
        <v>Baby Mine</v>
      </c>
      <c r="D13" s="3" t="str">
        <f>INDEX(Disney,INDEX(indices,(5-1)*5+4,2))</f>
        <v>That's How You Know</v>
      </c>
      <c r="E13" s="3" t="str">
        <f>INDEX(Disney,INDEX(indices,(5-1)*5+5,2))</f>
        <v>Life Is a Highway</v>
      </c>
    </row>
    <row r="14" spans="1:5" ht="93" customHeight="1" x14ac:dyDescent="0.25">
      <c r="A14" s="39"/>
      <c r="B14" s="39" t="s">
        <v>159</v>
      </c>
      <c r="C14" s="39" t="s">
        <v>296</v>
      </c>
      <c r="D14" s="39" t="s">
        <v>295</v>
      </c>
      <c r="E14" s="39"/>
    </row>
  </sheetData>
  <mergeCells count="2">
    <mergeCell ref="A1:E1"/>
    <mergeCell ref="A8:E8"/>
  </mergeCells>
  <conditionalFormatting sqref="A2:E6">
    <cfRule type="expression" dxfId="49" priority="2" stopIfTrue="1">
      <formula>LOWER(INDEX(Disney_Played,MATCH(A2,Disney,0)))="x"</formula>
    </cfRule>
  </conditionalFormatting>
  <conditionalFormatting sqref="A9:E13">
    <cfRule type="expression" dxfId="48" priority="1" stopIfTrue="1">
      <formula>LOWER(INDEX(Disney_Played,MATCH(A9,Disney,0)))="x"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8D6D2-A7DC-437F-8DE2-8ADF53ADA4FF}">
  <sheetPr codeName="Sheet5"/>
  <dimension ref="A1:E14"/>
  <sheetViews>
    <sheetView workbookViewId="0">
      <selection activeCell="A9" sqref="A9:E13"/>
    </sheetView>
  </sheetViews>
  <sheetFormatPr defaultColWidth="17.7109375" defaultRowHeight="93" customHeight="1" x14ac:dyDescent="0.25"/>
  <sheetData>
    <row r="1" spans="1:5" ht="93" customHeight="1" x14ac:dyDescent="0.25">
      <c r="A1" s="43" t="s">
        <v>230</v>
      </c>
      <c r="B1" s="43"/>
      <c r="C1" s="43"/>
      <c r="D1" s="43"/>
      <c r="E1" s="43"/>
    </row>
    <row r="2" spans="1:5" ht="93" customHeight="1" x14ac:dyDescent="0.25">
      <c r="A2" s="3" t="str">
        <f>INDEX(Disney,INDEX(indices,(1-1)*5+1,3))</f>
        <v>The Twilight Zone Tower of Terror</v>
      </c>
      <c r="B2" s="3" t="str">
        <f>INDEX(Disney,INDEX(indices,(1-1)*5+2,3))</f>
        <v>Just Keep Swimming</v>
      </c>
      <c r="C2" s="3" t="str">
        <f>INDEX(Disney,INDEX(indices,(1-1)*5+3,3))</f>
        <v>The Tiki, Tiki, Tiki Room</v>
      </c>
      <c r="D2" s="3" t="str">
        <f>INDEX(Disney,INDEX(indices,(1-1)*5+4,3))</f>
        <v>It's All Right</v>
      </c>
      <c r="E2" s="3" t="str">
        <f>INDEX(Disney,INDEX(indices,(1-1)*5+5,3))</f>
        <v>That's How You Know</v>
      </c>
    </row>
    <row r="3" spans="1:5" ht="93" customHeight="1" x14ac:dyDescent="0.25">
      <c r="A3" s="3" t="str">
        <f>INDEX(Disney,INDEX(indices,(2-1)*5+1,3))</f>
        <v>How Far I'll Go</v>
      </c>
      <c r="B3" s="3" t="str">
        <f>INDEX(Disney,INDEX(indices,(2-1)*5+2,3))</f>
        <v>You'll Be In My Heart</v>
      </c>
      <c r="C3" s="3" t="str">
        <f>INDEX(Disney,INDEX(indices,(2-1)*5+3,3))</f>
        <v>Fantasmic!</v>
      </c>
      <c r="D3" s="3" t="str">
        <f>INDEX(Disney,INDEX(indices,(2-1)*5+4,3))</f>
        <v>Remember Me</v>
      </c>
      <c r="E3" s="3" t="str">
        <f>INDEX(Disney,INDEX(indices,(2-1)*5+5,3))</f>
        <v>Bibbidi-Bobbidi-Boo</v>
      </c>
    </row>
    <row r="4" spans="1:5" ht="93" customHeight="1" x14ac:dyDescent="0.25">
      <c r="A4" s="3" t="str">
        <f>INDEX(Disney,INDEX(indices,(3-1)*5+1,3))</f>
        <v>One Little Spark</v>
      </c>
      <c r="B4" s="3" t="str">
        <f>INDEX(Disney,INDEX(indices,(3-1)*5+2,3))</f>
        <v>Friend Like Me</v>
      </c>
      <c r="C4" s="3" t="str">
        <f>INDEX(Disney,INDEX(indices,(3-1)*5+3,3))</f>
        <v>The Imperial March</v>
      </c>
      <c r="D4" s="3" t="str">
        <f>INDEX(Disney,INDEX(indices,(3-1)*5+4,3))</f>
        <v>Summer Belongs to You</v>
      </c>
      <c r="E4" s="3" t="str">
        <f>INDEX(Disney,INDEX(indices,(3-1)*5+5,3))</f>
        <v>You've Got a Friend in Me</v>
      </c>
    </row>
    <row r="5" spans="1:5" ht="93" customHeight="1" x14ac:dyDescent="0.25">
      <c r="A5" s="3" t="str">
        <f>INDEX(Disney,INDEX(indices,(4-1)*5+1,3))</f>
        <v>Steamboat Willie</v>
      </c>
      <c r="B5" s="3" t="str">
        <f>INDEX(Disney,INDEX(indices,(4-1)*5+2,3))</f>
        <v>Once Upon a Dream</v>
      </c>
      <c r="C5" s="3" t="str">
        <f>INDEX(Disney,INDEX(indices,(4-1)*5+3,3))</f>
        <v>Touch the Sky</v>
      </c>
      <c r="D5" s="3" t="str">
        <f>INDEX(Disney,INDEX(indices,(4-1)*5+4,3))</f>
        <v>When You Wish Upon a Star</v>
      </c>
      <c r="E5" s="3" t="str">
        <f>INDEX(Disney,INDEX(indices,(4-1)*5+5,3))</f>
        <v>A Guy Like You</v>
      </c>
    </row>
    <row r="6" spans="1:5" ht="93" customHeight="1" x14ac:dyDescent="0.25">
      <c r="A6" s="3" t="str">
        <f>INDEX(Disney,INDEX(indices,(5-1)*5+1,3))</f>
        <v>Heigh-Ho</v>
      </c>
      <c r="B6" s="3" t="str">
        <f>INDEX(Disney,INDEX(indices,(5-1)*5+2,3))</f>
        <v>Mickey Mouse Club March</v>
      </c>
      <c r="C6" s="3" t="str">
        <f>INDEX(Disney,INDEX(indices,(5-1)*5+3,3))</f>
        <v>If I Didn't Have You</v>
      </c>
      <c r="D6" s="3" t="str">
        <f>INDEX(Disney,INDEX(indices,(5-1)*5+4,3))</f>
        <v>Wall-E</v>
      </c>
      <c r="E6" s="3" t="str">
        <f>INDEX(Disney,INDEX(indices,(5-1)*5+5,3))</f>
        <v>Under the Sea</v>
      </c>
    </row>
    <row r="7" spans="1:5" ht="93" customHeight="1" x14ac:dyDescent="0.25">
      <c r="A7" s="39"/>
      <c r="B7" s="39" t="s">
        <v>160</v>
      </c>
      <c r="C7" s="39" t="s">
        <v>294</v>
      </c>
      <c r="D7" s="39" t="s">
        <v>295</v>
      </c>
      <c r="E7" s="39"/>
    </row>
    <row r="8" spans="1:5" ht="93" customHeight="1" x14ac:dyDescent="0.25">
      <c r="A8" s="43" t="s">
        <v>230</v>
      </c>
      <c r="B8" s="43"/>
      <c r="C8" s="43"/>
      <c r="D8" s="43"/>
      <c r="E8" s="43"/>
    </row>
    <row r="9" spans="1:5" ht="93" customHeight="1" x14ac:dyDescent="0.25">
      <c r="A9" s="3" t="str">
        <f>INDEX(Disney,INDEX(indices,(1-1)*5+1,4))</f>
        <v>Under the Sea</v>
      </c>
      <c r="B9" s="3" t="str">
        <f>INDEX(Disney,INDEX(indices,(1-1)*5+2,4))</f>
        <v>It's All Right</v>
      </c>
      <c r="C9" s="3" t="str">
        <f>INDEX(Disney,INDEX(indices,(1-1)*5+3,4))</f>
        <v>It's a Small World</v>
      </c>
      <c r="D9" s="3" t="str">
        <f>INDEX(Disney,INDEX(indices,(1-1)*5+4,4))</f>
        <v>Just Keep Swimming</v>
      </c>
      <c r="E9" s="3" t="str">
        <f>INDEX(Disney,INDEX(indices,(1-1)*5+5,4))</f>
        <v>Just Around the Riverbend</v>
      </c>
    </row>
    <row r="10" spans="1:5" ht="93" customHeight="1" x14ac:dyDescent="0.25">
      <c r="A10" s="3" t="str">
        <f>INDEX(Disney,INDEX(indices,(2-1)*5+1,4))</f>
        <v>Hakuna Matata</v>
      </c>
      <c r="B10" s="3" t="str">
        <f>INDEX(Disney,INDEX(indices,(2-1)*5+2,4))</f>
        <v>You'll Be Back</v>
      </c>
      <c r="C10" s="3" t="str">
        <f>INDEX(Disney,INDEX(indices,(2-1)*5+3,4))</f>
        <v>Just Like Fire</v>
      </c>
      <c r="D10" s="3" t="str">
        <f>INDEX(Disney,INDEX(indices,(2-1)*5+4,4))</f>
        <v>The Twilight Zone Tower of Terror</v>
      </c>
      <c r="E10" s="3" t="str">
        <f>INDEX(Disney,INDEX(indices,(2-1)*5+5,4))</f>
        <v>When You Wish Upon a Star</v>
      </c>
    </row>
    <row r="11" spans="1:5" ht="93" customHeight="1" x14ac:dyDescent="0.25">
      <c r="A11" s="3" t="str">
        <f>INDEX(Disney,INDEX(indices,(3-1)*5+1,4))</f>
        <v>Back In the Saddle</v>
      </c>
      <c r="B11" s="3" t="str">
        <f>INDEX(Disney,INDEX(indices,(3-1)*5+2,4))</f>
        <v>Summer Belongs to You</v>
      </c>
      <c r="C11" s="3" t="str">
        <f>INDEX(Disney,INDEX(indices,(3-1)*5+3,4))</f>
        <v>Bibbidi-Bobbidi-Boo</v>
      </c>
      <c r="D11" s="3" t="str">
        <f>INDEX(Disney,INDEX(indices,(3-1)*5+4,4))</f>
        <v>I See You</v>
      </c>
      <c r="E11" s="3" t="str">
        <f>INDEX(Disney,INDEX(indices,(3-1)*5+5,4))</f>
        <v>Try Everything</v>
      </c>
    </row>
    <row r="12" spans="1:5" ht="93" customHeight="1" x14ac:dyDescent="0.25">
      <c r="A12" s="3" t="str">
        <f>INDEX(Disney,INDEX(indices,(4-1)*5+1,4))</f>
        <v>If I Didn't Have You</v>
      </c>
      <c r="B12" s="3" t="str">
        <f>INDEX(Disney,INDEX(indices,(4-1)*5+2,4))</f>
        <v>Remember Me</v>
      </c>
      <c r="C12" s="3" t="str">
        <f>INDEX(Disney,INDEX(indices,(4-1)*5+3,4))</f>
        <v>Thomas O'Malley Cat</v>
      </c>
      <c r="D12" s="3" t="str">
        <f>INDEX(Disney,INDEX(indices,(4-1)*5+4,4))</f>
        <v>That's the Life</v>
      </c>
      <c r="E12" s="3" t="str">
        <f>INDEX(Disney,INDEX(indices,(4-1)*5+5,4))</f>
        <v>A Pirate's Life</v>
      </c>
    </row>
    <row r="13" spans="1:5" ht="93" customHeight="1" x14ac:dyDescent="0.25">
      <c r="A13" s="3" t="str">
        <f>INDEX(Disney,INDEX(indices,(5-1)*5+1,4))</f>
        <v>Cantina Band</v>
      </c>
      <c r="B13" s="3" t="str">
        <f>INDEX(Disney,INDEX(indices,(5-1)*5+2,4))</f>
        <v>Zero</v>
      </c>
      <c r="C13" s="3" t="str">
        <f>INDEX(Disney,INDEX(indices,(5-1)*5+3,4))</f>
        <v>The Imperial March</v>
      </c>
      <c r="D13" s="3" t="str">
        <f>INDEX(Disney,INDEX(indices,(5-1)*5+4,4))</f>
        <v>Touch the Sky</v>
      </c>
      <c r="E13" s="3" t="str">
        <f>INDEX(Disney,INDEX(indices,(5-1)*5+5,4))</f>
        <v>Why Should I Worry</v>
      </c>
    </row>
    <row r="14" spans="1:5" ht="93" customHeight="1" x14ac:dyDescent="0.25">
      <c r="A14" s="39"/>
      <c r="B14" s="39" t="s">
        <v>160</v>
      </c>
      <c r="C14" s="39" t="s">
        <v>296</v>
      </c>
      <c r="D14" s="39" t="s">
        <v>295</v>
      </c>
      <c r="E14" s="39"/>
    </row>
  </sheetData>
  <mergeCells count="2">
    <mergeCell ref="A1:E1"/>
    <mergeCell ref="A8:E8"/>
  </mergeCells>
  <conditionalFormatting sqref="A2:E6">
    <cfRule type="expression" dxfId="47" priority="2" stopIfTrue="1">
      <formula>LOWER(INDEX(Disney_Played,MATCH(A2,Disney,0)))="x"</formula>
    </cfRule>
  </conditionalFormatting>
  <conditionalFormatting sqref="A9:E13">
    <cfRule type="expression" dxfId="46" priority="1" stopIfTrue="1">
      <formula>LOWER(INDEX(Disney_Played,MATCH(A9,Disney,0)))="x"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85848-834B-48D0-86B8-96F3DE266249}">
  <sheetPr codeName="Sheet6"/>
  <dimension ref="A1:E14"/>
  <sheetViews>
    <sheetView workbookViewId="0">
      <selection activeCell="A9" sqref="A9:E13"/>
    </sheetView>
  </sheetViews>
  <sheetFormatPr defaultColWidth="17.7109375" defaultRowHeight="93" customHeight="1" x14ac:dyDescent="0.25"/>
  <sheetData>
    <row r="1" spans="1:5" ht="93" customHeight="1" x14ac:dyDescent="0.25">
      <c r="A1" s="43" t="s">
        <v>230</v>
      </c>
      <c r="B1" s="43"/>
      <c r="C1" s="43"/>
      <c r="D1" s="43"/>
      <c r="E1" s="43"/>
    </row>
    <row r="2" spans="1:5" ht="93" customHeight="1" x14ac:dyDescent="0.25">
      <c r="A2" s="3" t="str">
        <f>INDEX(Disney,INDEX(indices,(1-1)*5+1,5))</f>
        <v>One Little Spark</v>
      </c>
      <c r="B2" s="3" t="str">
        <f>INDEX(Disney,INDEX(indices,(1-1)*5+2,5))</f>
        <v>A Whole New World</v>
      </c>
      <c r="C2" s="3" t="str">
        <f>INDEX(Disney,INDEX(indices,(1-1)*5+3,5))</f>
        <v>Once Upon a Dream</v>
      </c>
      <c r="D2" s="3" t="str">
        <f>INDEX(Disney,INDEX(indices,(1-1)*5+4,5))</f>
        <v>He Mele No Lilo</v>
      </c>
      <c r="E2" s="3" t="str">
        <f>INDEX(Disney,INDEX(indices,(1-1)*5+5,5))</f>
        <v>Fantasmic!</v>
      </c>
    </row>
    <row r="3" spans="1:5" ht="93" customHeight="1" x14ac:dyDescent="0.25">
      <c r="A3" s="3" t="str">
        <f>INDEX(Disney,INDEX(indices,(2-1)*5+1,5))</f>
        <v>Back In the Saddle</v>
      </c>
      <c r="B3" s="3" t="str">
        <f>INDEX(Disney,INDEX(indices,(2-1)*5+2,5))</f>
        <v>A Guy Like You</v>
      </c>
      <c r="C3" s="3" t="str">
        <f>INDEX(Disney,INDEX(indices,(2-1)*5+3,5))</f>
        <v>I See You</v>
      </c>
      <c r="D3" s="3" t="str">
        <f>INDEX(Disney,INDEX(indices,(2-1)*5+4,5))</f>
        <v>Oggie Boogie's Song</v>
      </c>
      <c r="E3" s="3" t="str">
        <f>INDEX(Disney,INDEX(indices,(2-1)*5+5,5))</f>
        <v>A Pirate's Life</v>
      </c>
    </row>
    <row r="4" spans="1:5" ht="93" customHeight="1" x14ac:dyDescent="0.25">
      <c r="A4" s="3" t="str">
        <f>INDEX(Disney,INDEX(indices,(3-1)*5+1,5))</f>
        <v>Cantina Band</v>
      </c>
      <c r="B4" s="3" t="str">
        <f>INDEX(Disney,INDEX(indices,(3-1)*5+2,5))</f>
        <v>If I Didn't Have You</v>
      </c>
      <c r="C4" s="3" t="str">
        <f>INDEX(Disney,INDEX(indices,(3-1)*5+3,5))</f>
        <v>Flitterin'</v>
      </c>
      <c r="D4" s="3" t="str">
        <f>INDEX(Disney,INDEX(indices,(3-1)*5+4,5))</f>
        <v>The Bare Necessities</v>
      </c>
      <c r="E4" s="3" t="str">
        <f>INDEX(Disney,INDEX(indices,(3-1)*5+5,5))</f>
        <v>Steamboat Willie</v>
      </c>
    </row>
    <row r="5" spans="1:5" ht="93" customHeight="1" x14ac:dyDescent="0.25">
      <c r="A5" s="3" t="str">
        <f>INDEX(Disney,INDEX(indices,(4-1)*5+1,5))</f>
        <v>Heigh-Ho</v>
      </c>
      <c r="B5" s="3" t="str">
        <f>INDEX(Disney,INDEX(indices,(4-1)*5+2,5))</f>
        <v>Swissapolka</v>
      </c>
      <c r="C5" s="3" t="str">
        <f>INDEX(Disney,INDEX(indices,(4-1)*5+3,5))</f>
        <v>You'll Be In My Heart</v>
      </c>
      <c r="D5" s="3" t="str">
        <f>INDEX(Disney,INDEX(indices,(4-1)*5+4,5))</f>
        <v>It's All Right</v>
      </c>
      <c r="E5" s="3" t="str">
        <f>INDEX(Disney,INDEX(indices,(4-1)*5+5,5))</f>
        <v>Thomas O'Malley Cat</v>
      </c>
    </row>
    <row r="6" spans="1:5" ht="93" customHeight="1" x14ac:dyDescent="0.25">
      <c r="A6" s="3" t="str">
        <f>INDEX(Disney,INDEX(indices,(5-1)*5+1,5))</f>
        <v>The Tiki, Tiki, Tiki Room</v>
      </c>
      <c r="B6" s="3" t="str">
        <f>INDEX(Disney,INDEX(indices,(5-1)*5+2,5))</f>
        <v>After Today</v>
      </c>
      <c r="C6" s="3" t="str">
        <f>INDEX(Disney,INDEX(indices,(5-1)*5+3,5))</f>
        <v>Life Is a Highway</v>
      </c>
      <c r="D6" s="3" t="str">
        <f>INDEX(Disney,INDEX(indices,(5-1)*5+4,5))</f>
        <v>Just Around the Riverbend</v>
      </c>
      <c r="E6" s="3" t="str">
        <f>INDEX(Disney,INDEX(indices,(5-1)*5+5,5))</f>
        <v>The Twilight Zone Tower of Terror</v>
      </c>
    </row>
    <row r="7" spans="1:5" ht="93" customHeight="1" x14ac:dyDescent="0.25">
      <c r="A7" s="39"/>
      <c r="B7" s="39" t="s">
        <v>161</v>
      </c>
      <c r="C7" s="39" t="s">
        <v>294</v>
      </c>
      <c r="D7" s="39" t="s">
        <v>295</v>
      </c>
      <c r="E7" s="39"/>
    </row>
    <row r="8" spans="1:5" ht="93" customHeight="1" x14ac:dyDescent="0.25">
      <c r="A8" s="43" t="s">
        <v>230</v>
      </c>
      <c r="B8" s="43"/>
      <c r="C8" s="43"/>
      <c r="D8" s="43"/>
      <c r="E8" s="43"/>
    </row>
    <row r="9" spans="1:5" ht="93" customHeight="1" x14ac:dyDescent="0.25">
      <c r="A9" s="3" t="str">
        <f>INDEX(Disney,INDEX(indices,(1-1)*5+1,6))</f>
        <v>I See the Light</v>
      </c>
      <c r="B9" s="3" t="str">
        <f>INDEX(Disney,INDEX(indices,(1-1)*5+2,6))</f>
        <v>Be Our Guest</v>
      </c>
      <c r="C9" s="3" t="str">
        <f>INDEX(Disney,INDEX(indices,(1-1)*5+3,6))</f>
        <v>Zero To Hero</v>
      </c>
      <c r="D9" s="3" t="str">
        <f>INDEX(Disney,INDEX(indices,(1-1)*5+4,6))</f>
        <v>Just Keep Swimming</v>
      </c>
      <c r="E9" s="3" t="str">
        <f>INDEX(Disney,INDEX(indices,(1-1)*5+5,6))</f>
        <v>When You Wish Upon a Star</v>
      </c>
    </row>
    <row r="10" spans="1:5" ht="93" customHeight="1" x14ac:dyDescent="0.25">
      <c r="A10" s="3" t="str">
        <f>INDEX(Disney,INDEX(indices,(2-1)*5+1,6))</f>
        <v>The Twilight Zone Tower of Terror</v>
      </c>
      <c r="B10" s="3" t="str">
        <f>INDEX(Disney,INDEX(indices,(2-1)*5+2,6))</f>
        <v>Iron Man</v>
      </c>
      <c r="C10" s="3" t="str">
        <f>INDEX(Disney,INDEX(indices,(2-1)*5+3,6))</f>
        <v>Remember Me</v>
      </c>
      <c r="D10" s="3" t="str">
        <f>INDEX(Disney,INDEX(indices,(2-1)*5+4,6))</f>
        <v>Winnie the Pooh</v>
      </c>
      <c r="E10" s="3" t="str">
        <f>INDEX(Disney,INDEX(indices,(2-1)*5+5,6))</f>
        <v>Cantina Band</v>
      </c>
    </row>
    <row r="11" spans="1:5" ht="93" customHeight="1" x14ac:dyDescent="0.25">
      <c r="A11" s="3" t="str">
        <f>INDEX(Disney,INDEX(indices,(3-1)*5+1,6))</f>
        <v>A Whole New World</v>
      </c>
      <c r="B11" s="3" t="str">
        <f>INDEX(Disney,INDEX(indices,(3-1)*5+2,6))</f>
        <v>All Aboard</v>
      </c>
      <c r="C11" s="3" t="str">
        <f>INDEX(Disney,INDEX(indices,(3-1)*5+3,6))</f>
        <v>The Tiki, Tiki, Tiki Room</v>
      </c>
      <c r="D11" s="3" t="str">
        <f>INDEX(Disney,INDEX(indices,(3-1)*5+4,6))</f>
        <v>Life Is a Highway</v>
      </c>
      <c r="E11" s="3" t="str">
        <f>INDEX(Disney,INDEX(indices,(3-1)*5+5,6))</f>
        <v>Try Everything</v>
      </c>
    </row>
    <row r="12" spans="1:5" ht="93" customHeight="1" x14ac:dyDescent="0.25">
      <c r="A12" s="3" t="str">
        <f>INDEX(Disney,INDEX(indices,(4-1)*5+1,6))</f>
        <v>Heigh-Ho</v>
      </c>
      <c r="B12" s="3" t="str">
        <f>INDEX(Disney,INDEX(indices,(4-1)*5+2,6))</f>
        <v>Dig a Little Deeper</v>
      </c>
      <c r="C12" s="3" t="str">
        <f>INDEX(Disney,INDEX(indices,(4-1)*5+3,6))</f>
        <v>That's How You Know</v>
      </c>
      <c r="D12" s="3" t="str">
        <f>INDEX(Disney,INDEX(indices,(4-1)*5+4,6))</f>
        <v>You've Got a Friend in Me</v>
      </c>
      <c r="E12" s="3" t="str">
        <f>INDEX(Disney,INDEX(indices,(4-1)*5+5,6))</f>
        <v>How Far I'll Go</v>
      </c>
    </row>
    <row r="13" spans="1:5" ht="93" customHeight="1" x14ac:dyDescent="0.25">
      <c r="A13" s="3" t="str">
        <f>INDEX(Disney,INDEX(indices,(5-1)*5+1,6))</f>
        <v>Once Upon a Dream</v>
      </c>
      <c r="B13" s="3" t="str">
        <f>INDEX(Disney,INDEX(indices,(5-1)*5+2,6))</f>
        <v>A Guy Like You</v>
      </c>
      <c r="C13" s="3" t="str">
        <f>INDEX(Disney,INDEX(indices,(5-1)*5+3,6))</f>
        <v>DuckTales</v>
      </c>
      <c r="D13" s="3" t="str">
        <f>INDEX(Disney,INDEX(indices,(5-1)*5+4,6))</f>
        <v>Zero</v>
      </c>
      <c r="E13" s="3" t="str">
        <f>INDEX(Disney,INDEX(indices,(5-1)*5+5,6))</f>
        <v>Touch the Sky</v>
      </c>
    </row>
    <row r="14" spans="1:5" ht="93" customHeight="1" x14ac:dyDescent="0.25">
      <c r="A14" s="39"/>
      <c r="B14" s="39" t="s">
        <v>161</v>
      </c>
      <c r="C14" s="39" t="s">
        <v>296</v>
      </c>
      <c r="D14" s="39" t="s">
        <v>295</v>
      </c>
      <c r="E14" s="39"/>
    </row>
  </sheetData>
  <mergeCells count="2">
    <mergeCell ref="A1:E1"/>
    <mergeCell ref="A8:E8"/>
  </mergeCells>
  <conditionalFormatting sqref="A2:E6">
    <cfRule type="expression" dxfId="45" priority="2" stopIfTrue="1">
      <formula>LOWER(INDEX(Disney_Played,MATCH(A2,Disney,0)))="x"</formula>
    </cfRule>
  </conditionalFormatting>
  <conditionalFormatting sqref="A9:E13">
    <cfRule type="expression" dxfId="44" priority="1" stopIfTrue="1">
      <formula>LOWER(INDEX(Disney_Played,MATCH(A9,Disney,0)))="x"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D028B-9CCD-47A2-8696-7B9A53333F58}">
  <sheetPr codeName="Sheet7"/>
  <dimension ref="A1:E14"/>
  <sheetViews>
    <sheetView workbookViewId="0">
      <selection activeCell="D3" sqref="D3"/>
    </sheetView>
  </sheetViews>
  <sheetFormatPr defaultColWidth="17.7109375" defaultRowHeight="93" customHeight="1" x14ac:dyDescent="0.25"/>
  <sheetData>
    <row r="1" spans="1:5" ht="93" customHeight="1" x14ac:dyDescent="0.25">
      <c r="A1" s="43" t="s">
        <v>230</v>
      </c>
      <c r="B1" s="43"/>
      <c r="C1" s="43"/>
      <c r="D1" s="43"/>
      <c r="E1" s="43"/>
    </row>
    <row r="2" spans="1:5" ht="93" customHeight="1" x14ac:dyDescent="0.25">
      <c r="A2" s="3" t="str">
        <f>INDEX(Disney,INDEX(indices,(1-1)*5+1,7))</f>
        <v>You'll Be Back</v>
      </c>
      <c r="B2" s="3" t="str">
        <f>INDEX(Disney,INDEX(indices,(1-1)*5+2,7))</f>
        <v>I See the Light</v>
      </c>
      <c r="C2" s="3" t="str">
        <f>INDEX(Disney,INDEX(indices,(1-1)*5+3,7))</f>
        <v>Dig a Little Deeper</v>
      </c>
      <c r="D2" s="3" t="str">
        <f>INDEX(Disney,INDEX(indices,(1-1)*5+4,7))</f>
        <v>Hakuna Matata</v>
      </c>
      <c r="E2" s="3" t="str">
        <f>INDEX(Disney,INDEX(indices,(1-1)*5+5,7))</f>
        <v>DuckTales</v>
      </c>
    </row>
    <row r="3" spans="1:5" ht="93" customHeight="1" x14ac:dyDescent="0.25">
      <c r="A3" s="3" t="str">
        <f>INDEX(Disney,INDEX(indices,(2-1)*5+1,7))</f>
        <v>Remember Me</v>
      </c>
      <c r="B3" s="3" t="str">
        <f>INDEX(Disney,INDEX(indices,(2-1)*5+2,7))</f>
        <v>What's My Name</v>
      </c>
      <c r="C3" s="3" t="str">
        <f>INDEX(Disney,INDEX(indices,(2-1)*5+3,7))</f>
        <v>Bibbidi-Bobbidi-Boo</v>
      </c>
      <c r="D3" s="3" t="str">
        <f>INDEX(Disney,INDEX(indices,(2-1)*5+4,7))</f>
        <v>All Aboard</v>
      </c>
      <c r="E3" s="3" t="str">
        <f>INDEX(Disney,INDEX(indices,(2-1)*5+5,7))</f>
        <v>Friend Like Me</v>
      </c>
    </row>
    <row r="4" spans="1:5" ht="93" customHeight="1" x14ac:dyDescent="0.25">
      <c r="A4" s="3" t="str">
        <f>INDEX(Disney,INDEX(indices,(3-1)*5+1,7))</f>
        <v>Let It Go</v>
      </c>
      <c r="B4" s="3" t="str">
        <f>INDEX(Disney,INDEX(indices,(3-1)*5+2,7))</f>
        <v>Fantasmic!</v>
      </c>
      <c r="C4" s="3" t="str">
        <f>INDEX(Disney,INDEX(indices,(3-1)*5+3,7))</f>
        <v>The Incredits</v>
      </c>
      <c r="D4" s="3" t="str">
        <f>INDEX(Disney,INDEX(indices,(3-1)*5+4,7))</f>
        <v>The Twilight Zone Tower of Terror</v>
      </c>
      <c r="E4" s="3" t="str">
        <f>INDEX(Disney,INDEX(indices,(3-1)*5+5,7))</f>
        <v>Winnie the Pooh</v>
      </c>
    </row>
    <row r="5" spans="1:5" ht="93" customHeight="1" x14ac:dyDescent="0.25">
      <c r="A5" s="3" t="str">
        <f>INDEX(Disney,INDEX(indices,(4-1)*5+1,7))</f>
        <v>I See You</v>
      </c>
      <c r="B5" s="3" t="str">
        <f>INDEX(Disney,INDEX(indices,(4-1)*5+2,7))</f>
        <v>It's a Small World</v>
      </c>
      <c r="C5" s="3" t="str">
        <f>INDEX(Disney,INDEX(indices,(4-1)*5+3,7))</f>
        <v>Just Like Fire</v>
      </c>
      <c r="D5" s="3" t="str">
        <f>INDEX(Disney,INDEX(indices,(4-1)*5+4,7))</f>
        <v>One Little Spark</v>
      </c>
      <c r="E5" s="3" t="str">
        <f>INDEX(Disney,INDEX(indices,(4-1)*5+5,7))</f>
        <v>Swissapolka</v>
      </c>
    </row>
    <row r="6" spans="1:5" ht="93" customHeight="1" x14ac:dyDescent="0.25">
      <c r="A6" s="3" t="str">
        <f>INDEX(Disney,INDEX(indices,(5-1)*5+1,7))</f>
        <v>Baby Mine</v>
      </c>
      <c r="B6" s="3" t="str">
        <f>INDEX(Disney,INDEX(indices,(5-1)*5+2,7))</f>
        <v>Back In the Saddle</v>
      </c>
      <c r="C6" s="3" t="str">
        <f>INDEX(Disney,INDEX(indices,(5-1)*5+3,7))</f>
        <v>Mickey Mouse Club March</v>
      </c>
      <c r="D6" s="3" t="str">
        <f>INDEX(Disney,INDEX(indices,(5-1)*5+4,7))</f>
        <v>Steamboat Willie</v>
      </c>
      <c r="E6" s="3" t="str">
        <f>INDEX(Disney,INDEX(indices,(5-1)*5+5,7))</f>
        <v>Once Upon a Dream</v>
      </c>
    </row>
    <row r="7" spans="1:5" ht="93" customHeight="1" x14ac:dyDescent="0.25">
      <c r="A7" s="39"/>
      <c r="B7" s="39" t="s">
        <v>162</v>
      </c>
      <c r="C7" s="39" t="s">
        <v>294</v>
      </c>
      <c r="D7" s="39" t="s">
        <v>295</v>
      </c>
      <c r="E7" s="39"/>
    </row>
    <row r="8" spans="1:5" ht="93" customHeight="1" x14ac:dyDescent="0.25">
      <c r="A8" s="43" t="s">
        <v>230</v>
      </c>
      <c r="B8" s="43"/>
      <c r="C8" s="43"/>
      <c r="D8" s="43"/>
      <c r="E8" s="43"/>
    </row>
    <row r="9" spans="1:5" ht="93" customHeight="1" x14ac:dyDescent="0.25">
      <c r="A9" s="3" t="str">
        <f>INDEX(Disney,INDEX(indices,(1-1)*5+1,8))</f>
        <v>Back In the Saddle</v>
      </c>
      <c r="B9" s="3" t="str">
        <f>INDEX(Disney,INDEX(indices,(1-1)*5+2,8))</f>
        <v>Oggie Boogie's Song</v>
      </c>
      <c r="C9" s="3" t="str">
        <f>INDEX(Disney,INDEX(indices,(1-1)*5+3,8))</f>
        <v>You'll Be Back</v>
      </c>
      <c r="D9" s="3" t="str">
        <f>INDEX(Disney,INDEX(indices,(1-1)*5+4,8))</f>
        <v>Baby Mine</v>
      </c>
      <c r="E9" s="3" t="str">
        <f>INDEX(Disney,INDEX(indices,(1-1)*5+5,8))</f>
        <v>Hakuna Matata</v>
      </c>
    </row>
    <row r="10" spans="1:5" ht="93" customHeight="1" x14ac:dyDescent="0.25">
      <c r="A10" s="3" t="str">
        <f>INDEX(Disney,INDEX(indices,(2-1)*5+1,8))</f>
        <v>Once Upon a Dream</v>
      </c>
      <c r="B10" s="3" t="str">
        <f>INDEX(Disney,INDEX(indices,(2-1)*5+2,8))</f>
        <v>Try Everything</v>
      </c>
      <c r="C10" s="3" t="str">
        <f>INDEX(Disney,INDEX(indices,(2-1)*5+3,8))</f>
        <v>Swissapolka</v>
      </c>
      <c r="D10" s="3" t="str">
        <f>INDEX(Disney,INDEX(indices,(2-1)*5+4,8))</f>
        <v>The Imperial March</v>
      </c>
      <c r="E10" s="3" t="str">
        <f>INDEX(Disney,INDEX(indices,(2-1)*5+5,8))</f>
        <v>Cantina Band</v>
      </c>
    </row>
    <row r="11" spans="1:5" ht="93" customHeight="1" x14ac:dyDescent="0.25">
      <c r="A11" s="3" t="str">
        <f>INDEX(Disney,INDEX(indices,(3-1)*5+1,8))</f>
        <v>One Little Spark</v>
      </c>
      <c r="B11" s="3" t="str">
        <f>INDEX(Disney,INDEX(indices,(3-1)*5+2,8))</f>
        <v>DuckTales</v>
      </c>
      <c r="C11" s="3" t="str">
        <f>INDEX(Disney,INDEX(indices,(3-1)*5+3,8))</f>
        <v>Just Like Fire</v>
      </c>
      <c r="D11" s="3" t="str">
        <f>INDEX(Disney,INDEX(indices,(3-1)*5+4,8))</f>
        <v>Soarin'</v>
      </c>
      <c r="E11" s="3" t="str">
        <f>INDEX(Disney,INDEX(indices,(3-1)*5+5,8))</f>
        <v>We're All In This Together</v>
      </c>
    </row>
    <row r="12" spans="1:5" ht="93" customHeight="1" x14ac:dyDescent="0.25">
      <c r="A12" s="3" t="str">
        <f>INDEX(Disney,INDEX(indices,(4-1)*5+1,8))</f>
        <v>Winnie the Pooh</v>
      </c>
      <c r="B12" s="3" t="str">
        <f>INDEX(Disney,INDEX(indices,(4-1)*5+2,8))</f>
        <v>That's How You Know</v>
      </c>
      <c r="C12" s="3" t="str">
        <f>INDEX(Disney,INDEX(indices,(4-1)*5+3,8))</f>
        <v>Summer Belongs to You</v>
      </c>
      <c r="D12" s="3" t="str">
        <f>INDEX(Disney,INDEX(indices,(4-1)*5+4,8))</f>
        <v>Let It Go</v>
      </c>
      <c r="E12" s="3" t="str">
        <f>INDEX(Disney,INDEX(indices,(4-1)*5+5,8))</f>
        <v>It's All Right</v>
      </c>
    </row>
    <row r="13" spans="1:5" ht="93" customHeight="1" x14ac:dyDescent="0.25">
      <c r="A13" s="3" t="str">
        <f>INDEX(Disney,INDEX(indices,(5-1)*5+1,8))</f>
        <v>You'll Be In My Heart</v>
      </c>
      <c r="B13" s="3" t="str">
        <f>INDEX(Disney,INDEX(indices,(5-1)*5+2,8))</f>
        <v>Friend Like Me</v>
      </c>
      <c r="C13" s="3" t="str">
        <f>INDEX(Disney,INDEX(indices,(5-1)*5+3,8))</f>
        <v>He Mele No Lilo</v>
      </c>
      <c r="D13" s="3" t="str">
        <f>INDEX(Disney,INDEX(indices,(5-1)*5+4,8))</f>
        <v>The Incredits</v>
      </c>
      <c r="E13" s="3" t="str">
        <f>INDEX(Disney,INDEX(indices,(5-1)*5+5,8))</f>
        <v>Touch the Sky</v>
      </c>
    </row>
    <row r="14" spans="1:5" ht="93" customHeight="1" x14ac:dyDescent="0.25">
      <c r="A14" s="39"/>
      <c r="B14" s="39" t="s">
        <v>162</v>
      </c>
      <c r="C14" s="39" t="s">
        <v>296</v>
      </c>
      <c r="D14" s="39" t="s">
        <v>295</v>
      </c>
      <c r="E14" s="39"/>
    </row>
  </sheetData>
  <mergeCells count="2">
    <mergeCell ref="A1:E1"/>
    <mergeCell ref="A8:E8"/>
  </mergeCells>
  <conditionalFormatting sqref="A2:E6">
    <cfRule type="expression" dxfId="43" priority="2" stopIfTrue="1">
      <formula>LOWER(INDEX(Disney_Played,MATCH(A2,Disney,0)))="x"</formula>
    </cfRule>
  </conditionalFormatting>
  <conditionalFormatting sqref="A9:E13">
    <cfRule type="expression" dxfId="42" priority="1" stopIfTrue="1">
      <formula>LOWER(INDEX(Disney_Played,MATCH(A9,Disney,0)))="x"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12CDE-78BC-4893-BC9B-9C8D26A9DCCF}">
  <sheetPr codeName="Sheet8"/>
  <dimension ref="A1:E14"/>
  <sheetViews>
    <sheetView workbookViewId="0">
      <selection activeCell="A9" sqref="A9:E13"/>
    </sheetView>
  </sheetViews>
  <sheetFormatPr defaultColWidth="17.7109375" defaultRowHeight="93" customHeight="1" x14ac:dyDescent="0.25"/>
  <sheetData>
    <row r="1" spans="1:5" ht="93" customHeight="1" x14ac:dyDescent="0.25">
      <c r="A1" s="43" t="s">
        <v>230</v>
      </c>
      <c r="B1" s="43"/>
      <c r="C1" s="43"/>
      <c r="D1" s="43"/>
      <c r="E1" s="43"/>
    </row>
    <row r="2" spans="1:5" ht="93" customHeight="1" x14ac:dyDescent="0.25">
      <c r="A2" s="3" t="str">
        <f>INDEX(Disney,INDEX(indices,(1-1)*5+1,9))</f>
        <v>Thomas O'Malley Cat</v>
      </c>
      <c r="B2" s="3" t="str">
        <f>INDEX(Disney,INDEX(indices,(1-1)*5+2,9))</f>
        <v>We're All In This Together</v>
      </c>
      <c r="C2" s="3" t="str">
        <f>INDEX(Disney,INDEX(indices,(1-1)*5+3,9))</f>
        <v>Baby Mine</v>
      </c>
      <c r="D2" s="3" t="str">
        <f>INDEX(Disney,INDEX(indices,(1-1)*5+4,9))</f>
        <v>How Far I'll Go</v>
      </c>
      <c r="E2" s="3" t="str">
        <f>INDEX(Disney,INDEX(indices,(1-1)*5+5,9))</f>
        <v>Steamboat Willie</v>
      </c>
    </row>
    <row r="3" spans="1:5" ht="93" customHeight="1" x14ac:dyDescent="0.25">
      <c r="A3" s="3" t="str">
        <f>INDEX(Disney,INDEX(indices,(2-1)*5+1,9))</f>
        <v>What's My Name</v>
      </c>
      <c r="B3" s="3" t="str">
        <f>INDEX(Disney,INDEX(indices,(2-1)*5+2,9))</f>
        <v>Let It Go</v>
      </c>
      <c r="C3" s="3" t="str">
        <f>INDEX(Disney,INDEX(indices,(2-1)*5+3,9))</f>
        <v>Dig a Little Deeper</v>
      </c>
      <c r="D3" s="3" t="str">
        <f>INDEX(Disney,INDEX(indices,(2-1)*5+4,9))</f>
        <v>Heigh-Ho</v>
      </c>
      <c r="E3" s="3" t="str">
        <f>INDEX(Disney,INDEX(indices,(2-1)*5+5,9))</f>
        <v>Winnie the Pooh</v>
      </c>
    </row>
    <row r="4" spans="1:5" ht="93" customHeight="1" x14ac:dyDescent="0.25">
      <c r="A4" s="3" t="str">
        <f>INDEX(Disney,INDEX(indices,(3-1)*5+1,9))</f>
        <v>Love</v>
      </c>
      <c r="B4" s="3" t="str">
        <f>INDEX(Disney,INDEX(indices,(3-1)*5+2,9))</f>
        <v>The Imperial March</v>
      </c>
      <c r="C4" s="3" t="str">
        <f>INDEX(Disney,INDEX(indices,(3-1)*5+3,9))</f>
        <v>One Little Spark</v>
      </c>
      <c r="D4" s="3" t="str">
        <f>INDEX(Disney,INDEX(indices,(3-1)*5+4,9))</f>
        <v>Just Keep Swimming</v>
      </c>
      <c r="E4" s="3" t="str">
        <f>INDEX(Disney,INDEX(indices,(3-1)*5+5,9))</f>
        <v>DuckTales</v>
      </c>
    </row>
    <row r="5" spans="1:5" ht="93" customHeight="1" x14ac:dyDescent="0.25">
      <c r="A5" s="3" t="str">
        <f>INDEX(Disney,INDEX(indices,(4-1)*5+1,9))</f>
        <v>Oggie Boogie's Song</v>
      </c>
      <c r="B5" s="3" t="str">
        <f>INDEX(Disney,INDEX(indices,(4-1)*5+2,9))</f>
        <v>Back In the Saddle</v>
      </c>
      <c r="C5" s="3" t="str">
        <f>INDEX(Disney,INDEX(indices,(4-1)*5+3,9))</f>
        <v>Zero To Hero</v>
      </c>
      <c r="D5" s="3" t="str">
        <f>INDEX(Disney,INDEX(indices,(4-1)*5+4,9))</f>
        <v>Zero</v>
      </c>
      <c r="E5" s="3" t="str">
        <f>INDEX(Disney,INDEX(indices,(4-1)*5+5,9))</f>
        <v>Touch the Sky</v>
      </c>
    </row>
    <row r="6" spans="1:5" ht="93" customHeight="1" x14ac:dyDescent="0.25">
      <c r="A6" s="3" t="str">
        <f>INDEX(Disney,INDEX(indices,(5-1)*5+1,9))</f>
        <v>A Whole New World</v>
      </c>
      <c r="B6" s="3" t="str">
        <f>INDEX(Disney,INDEX(indices,(5-1)*5+2,9))</f>
        <v>Friend Like Me</v>
      </c>
      <c r="C6" s="3" t="str">
        <f>INDEX(Disney,INDEX(indices,(5-1)*5+3,9))</f>
        <v>It's All Right</v>
      </c>
      <c r="D6" s="3" t="str">
        <f>INDEX(Disney,INDEX(indices,(5-1)*5+4,9))</f>
        <v>That's the Life</v>
      </c>
      <c r="E6" s="3" t="str">
        <f>INDEX(Disney,INDEX(indices,(5-1)*5+5,9))</f>
        <v>The Incredits</v>
      </c>
    </row>
    <row r="7" spans="1:5" ht="93" customHeight="1" x14ac:dyDescent="0.25">
      <c r="A7" s="39"/>
      <c r="B7" s="39" t="s">
        <v>163</v>
      </c>
      <c r="C7" s="39" t="s">
        <v>294</v>
      </c>
      <c r="D7" s="39" t="s">
        <v>295</v>
      </c>
      <c r="E7" s="39"/>
    </row>
    <row r="8" spans="1:5" ht="93" customHeight="1" x14ac:dyDescent="0.25">
      <c r="A8" s="43" t="s">
        <v>230</v>
      </c>
      <c r="B8" s="43"/>
      <c r="C8" s="43"/>
      <c r="D8" s="43"/>
      <c r="E8" s="43"/>
    </row>
    <row r="9" spans="1:5" ht="93" customHeight="1" x14ac:dyDescent="0.25">
      <c r="A9" s="3" t="str">
        <f>INDEX(Disney,INDEX(indices,(1-1)*5+1,10))</f>
        <v>If I Didn't Have You</v>
      </c>
      <c r="B9" s="3" t="str">
        <f>INDEX(Disney,INDEX(indices,(1-1)*5+2,10))</f>
        <v>What's My Name</v>
      </c>
      <c r="C9" s="3" t="str">
        <f>INDEX(Disney,INDEX(indices,(1-1)*5+3,10))</f>
        <v>Just Around the Riverbend</v>
      </c>
      <c r="D9" s="3" t="str">
        <f>INDEX(Disney,INDEX(indices,(1-1)*5+4,10))</f>
        <v>The Incredits</v>
      </c>
      <c r="E9" s="3" t="str">
        <f>INDEX(Disney,INDEX(indices,(1-1)*5+5,10))</f>
        <v>Flitterin'</v>
      </c>
    </row>
    <row r="10" spans="1:5" ht="93" customHeight="1" x14ac:dyDescent="0.25">
      <c r="A10" s="3" t="str">
        <f>INDEX(Disney,INDEX(indices,(2-1)*5+1,10))</f>
        <v>Step In Time</v>
      </c>
      <c r="B10" s="3" t="str">
        <f>INDEX(Disney,INDEX(indices,(2-1)*5+2,10))</f>
        <v>It's a Small World</v>
      </c>
      <c r="C10" s="3" t="str">
        <f>INDEX(Disney,INDEX(indices,(2-1)*5+3,10))</f>
        <v>Why Should I Worry</v>
      </c>
      <c r="D10" s="3" t="str">
        <f>INDEX(Disney,INDEX(indices,(2-1)*5+4,10))</f>
        <v>Steamboat Willie</v>
      </c>
      <c r="E10" s="3" t="str">
        <f>INDEX(Disney,INDEX(indices,(2-1)*5+5,10))</f>
        <v>Under the Sea</v>
      </c>
    </row>
    <row r="11" spans="1:5" ht="93" customHeight="1" x14ac:dyDescent="0.25">
      <c r="A11" s="3" t="str">
        <f>INDEX(Disney,INDEX(indices,(3-1)*5+1,10))</f>
        <v>Friend Like Me</v>
      </c>
      <c r="B11" s="3" t="str">
        <f>INDEX(Disney,INDEX(indices,(3-1)*5+2,10))</f>
        <v>When You Wish Upon a Star</v>
      </c>
      <c r="C11" s="3" t="str">
        <f>INDEX(Disney,INDEX(indices,(3-1)*5+3,10))</f>
        <v>Bibbidi-Bobbidi-Boo</v>
      </c>
      <c r="D11" s="3" t="str">
        <f>INDEX(Disney,INDEX(indices,(3-1)*5+4,10))</f>
        <v>Be Our Guest</v>
      </c>
      <c r="E11" s="3" t="str">
        <f>INDEX(Disney,INDEX(indices,(3-1)*5+5,10))</f>
        <v>After Today</v>
      </c>
    </row>
    <row r="12" spans="1:5" ht="93" customHeight="1" x14ac:dyDescent="0.25">
      <c r="A12" s="3" t="str">
        <f>INDEX(Disney,INDEX(indices,(4-1)*5+1,10))</f>
        <v>The Imperial March</v>
      </c>
      <c r="B12" s="3" t="str">
        <f>INDEX(Disney,INDEX(indices,(4-1)*5+2,10))</f>
        <v>Hakuna Matata</v>
      </c>
      <c r="C12" s="3" t="str">
        <f>INDEX(Disney,INDEX(indices,(4-1)*5+3,10))</f>
        <v>DuckTales</v>
      </c>
      <c r="D12" s="3" t="str">
        <f>INDEX(Disney,INDEX(indices,(4-1)*5+4,10))</f>
        <v>We're All In This Together</v>
      </c>
      <c r="E12" s="3" t="str">
        <f>INDEX(Disney,INDEX(indices,(4-1)*5+5,10))</f>
        <v>Swissapolka</v>
      </c>
    </row>
    <row r="13" spans="1:5" ht="93" customHeight="1" x14ac:dyDescent="0.25">
      <c r="A13" s="3" t="str">
        <f>INDEX(Disney,INDEX(indices,(5-1)*5+1,10))</f>
        <v>Cantina Band</v>
      </c>
      <c r="B13" s="3" t="str">
        <f>INDEX(Disney,INDEX(indices,(5-1)*5+2,10))</f>
        <v>Baby Mine</v>
      </c>
      <c r="C13" s="3" t="str">
        <f>INDEX(Disney,INDEX(indices,(5-1)*5+3,10))</f>
        <v>You'll Be Back</v>
      </c>
      <c r="D13" s="3" t="str">
        <f>INDEX(Disney,INDEX(indices,(5-1)*5+4,10))</f>
        <v>It's All Right</v>
      </c>
      <c r="E13" s="3" t="str">
        <f>INDEX(Disney,INDEX(indices,(5-1)*5+5,10))</f>
        <v>Once Upon a Dream</v>
      </c>
    </row>
    <row r="14" spans="1:5" ht="93" customHeight="1" x14ac:dyDescent="0.25">
      <c r="A14" s="39"/>
      <c r="B14" s="39" t="s">
        <v>163</v>
      </c>
      <c r="C14" s="39" t="s">
        <v>296</v>
      </c>
      <c r="D14" s="39" t="s">
        <v>295</v>
      </c>
      <c r="E14" s="39"/>
    </row>
  </sheetData>
  <mergeCells count="2">
    <mergeCell ref="A1:E1"/>
    <mergeCell ref="A8:E8"/>
  </mergeCells>
  <conditionalFormatting sqref="A2:E6">
    <cfRule type="expression" dxfId="41" priority="2" stopIfTrue="1">
      <formula>LOWER(INDEX(Disney_Played,MATCH(A2,Disney,0)))="x"</formula>
    </cfRule>
  </conditionalFormatting>
  <conditionalFormatting sqref="A9:E13">
    <cfRule type="expression" dxfId="40" priority="1" stopIfTrue="1">
      <formula>LOWER(INDEX(Disney_Played,MATCH(A9,Disney,0)))="x"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01E43-9485-4FB8-A2D2-151F51940BFE}">
  <sheetPr codeName="Sheet9"/>
  <dimension ref="A1:E14"/>
  <sheetViews>
    <sheetView workbookViewId="0">
      <selection activeCell="A9" sqref="A9:E13"/>
    </sheetView>
  </sheetViews>
  <sheetFormatPr defaultColWidth="17.7109375" defaultRowHeight="93" customHeight="1" x14ac:dyDescent="0.25"/>
  <sheetData>
    <row r="1" spans="1:5" ht="93" customHeight="1" x14ac:dyDescent="0.25">
      <c r="A1" s="43" t="s">
        <v>230</v>
      </c>
      <c r="B1" s="43"/>
      <c r="C1" s="43"/>
      <c r="D1" s="43"/>
      <c r="E1" s="43"/>
    </row>
    <row r="2" spans="1:5" ht="93" customHeight="1" x14ac:dyDescent="0.25">
      <c r="A2" s="3" t="str">
        <f>INDEX(Disney,INDEX(indices,(1-1)*5+1,11))</f>
        <v>That's How You Know</v>
      </c>
      <c r="B2" s="3" t="str">
        <f>INDEX(Disney,INDEX(indices,(1-1)*5+2,11))</f>
        <v>Steamboat Willie</v>
      </c>
      <c r="C2" s="3" t="str">
        <f>INDEX(Disney,INDEX(indices,(1-1)*5+3,11))</f>
        <v>Love</v>
      </c>
      <c r="D2" s="3" t="str">
        <f>INDEX(Disney,INDEX(indices,(1-1)*5+4,11))</f>
        <v>Summer Belongs to You</v>
      </c>
      <c r="E2" s="3" t="str">
        <f>INDEX(Disney,INDEX(indices,(1-1)*5+5,11))</f>
        <v>Wall-E</v>
      </c>
    </row>
    <row r="3" spans="1:5" ht="93" customHeight="1" x14ac:dyDescent="0.25">
      <c r="A3" s="3" t="str">
        <f>INDEX(Disney,INDEX(indices,(2-1)*5+1,11))</f>
        <v>Hakuna Matata</v>
      </c>
      <c r="B3" s="3" t="str">
        <f>INDEX(Disney,INDEX(indices,(2-1)*5+2,11))</f>
        <v>Zero To Hero</v>
      </c>
      <c r="C3" s="3" t="str">
        <f>INDEX(Disney,INDEX(indices,(2-1)*5+3,11))</f>
        <v>Fantasmic!</v>
      </c>
      <c r="D3" s="3" t="str">
        <f>INDEX(Disney,INDEX(indices,(2-1)*5+4,11))</f>
        <v>Heigh-Ho</v>
      </c>
      <c r="E3" s="3" t="str">
        <f>INDEX(Disney,INDEX(indices,(2-1)*5+5,11))</f>
        <v>Bibbidi-Bobbidi-Boo</v>
      </c>
    </row>
    <row r="4" spans="1:5" ht="93" customHeight="1" x14ac:dyDescent="0.25">
      <c r="A4" s="3" t="str">
        <f>INDEX(Disney,INDEX(indices,(3-1)*5+1,11))</f>
        <v>You'll Be In My Heart</v>
      </c>
      <c r="B4" s="3" t="str">
        <f>INDEX(Disney,INDEX(indices,(3-1)*5+2,11))</f>
        <v>The Bare Necessities</v>
      </c>
      <c r="C4" s="3" t="str">
        <f>INDEX(Disney,INDEX(indices,(3-1)*5+3,11))</f>
        <v>You'll Be Back</v>
      </c>
      <c r="D4" s="3" t="str">
        <f>INDEX(Disney,INDEX(indices,(3-1)*5+4,11))</f>
        <v>Zero</v>
      </c>
      <c r="E4" s="3" t="str">
        <f>INDEX(Disney,INDEX(indices,(3-1)*5+5,11))</f>
        <v>DuckTales</v>
      </c>
    </row>
    <row r="5" spans="1:5" ht="93" customHeight="1" x14ac:dyDescent="0.25">
      <c r="A5" s="3" t="str">
        <f>INDEX(Disney,INDEX(indices,(4-1)*5+1,11))</f>
        <v>Let It Go</v>
      </c>
      <c r="B5" s="3" t="str">
        <f>INDEX(Disney,INDEX(indices,(4-1)*5+2,11))</f>
        <v>Thomas O'Malley Cat</v>
      </c>
      <c r="C5" s="3" t="str">
        <f>INDEX(Disney,INDEX(indices,(4-1)*5+3,11))</f>
        <v>Life Is a Highway</v>
      </c>
      <c r="D5" s="3" t="str">
        <f>INDEX(Disney,INDEX(indices,(4-1)*5+4,11))</f>
        <v>Soarin'</v>
      </c>
      <c r="E5" s="3" t="str">
        <f>INDEX(Disney,INDEX(indices,(4-1)*5+5,11))</f>
        <v>Remember Me</v>
      </c>
    </row>
    <row r="6" spans="1:5" ht="93" customHeight="1" x14ac:dyDescent="0.25">
      <c r="A6" s="3" t="str">
        <f>INDEX(Disney,INDEX(indices,(5-1)*5+1,11))</f>
        <v>Flitterin'</v>
      </c>
      <c r="B6" s="3" t="str">
        <f>INDEX(Disney,INDEX(indices,(5-1)*5+2,11))</f>
        <v>Friend Like Me</v>
      </c>
      <c r="C6" s="3" t="str">
        <f>INDEX(Disney,INDEX(indices,(5-1)*5+3,11))</f>
        <v>I See the Light</v>
      </c>
      <c r="D6" s="3" t="str">
        <f>INDEX(Disney,INDEX(indices,(5-1)*5+4,11))</f>
        <v>A Pirate's Life</v>
      </c>
      <c r="E6" s="3" t="str">
        <f>INDEX(Disney,INDEX(indices,(5-1)*5+5,11))</f>
        <v>I See You</v>
      </c>
    </row>
    <row r="7" spans="1:5" ht="93" customHeight="1" x14ac:dyDescent="0.25">
      <c r="A7" s="39"/>
      <c r="B7" s="39" t="s">
        <v>164</v>
      </c>
      <c r="C7" s="39" t="s">
        <v>294</v>
      </c>
      <c r="D7" s="39" t="s">
        <v>295</v>
      </c>
      <c r="E7" s="39"/>
    </row>
    <row r="8" spans="1:5" ht="93" customHeight="1" x14ac:dyDescent="0.25">
      <c r="A8" s="43" t="s">
        <v>230</v>
      </c>
      <c r="B8" s="43"/>
      <c r="C8" s="43"/>
      <c r="D8" s="43"/>
      <c r="E8" s="43"/>
    </row>
    <row r="9" spans="1:5" ht="93" customHeight="1" x14ac:dyDescent="0.25">
      <c r="A9" s="3" t="str">
        <f>INDEX(Disney,INDEX(indices,(1-1)*5+1,12))</f>
        <v>A Whole New World</v>
      </c>
      <c r="B9" s="3" t="str">
        <f>INDEX(Disney,INDEX(indices,(1-1)*5+2,12))</f>
        <v>Life Is a Highway</v>
      </c>
      <c r="C9" s="3" t="str">
        <f>INDEX(Disney,INDEX(indices,(1-1)*5+3,12))</f>
        <v>A Pirate's Life</v>
      </c>
      <c r="D9" s="3" t="str">
        <f>INDEX(Disney,INDEX(indices,(1-1)*5+4,12))</f>
        <v>How Far I'll Go</v>
      </c>
      <c r="E9" s="3" t="str">
        <f>INDEX(Disney,INDEX(indices,(1-1)*5+5,12))</f>
        <v>That's the Life</v>
      </c>
    </row>
    <row r="10" spans="1:5" ht="93" customHeight="1" x14ac:dyDescent="0.25">
      <c r="A10" s="3" t="str">
        <f>INDEX(Disney,INDEX(indices,(2-1)*5+1,12))</f>
        <v>Friend Like Me</v>
      </c>
      <c r="B10" s="3" t="str">
        <f>INDEX(Disney,INDEX(indices,(2-1)*5+2,12))</f>
        <v>What's My Name</v>
      </c>
      <c r="C10" s="3" t="str">
        <f>INDEX(Disney,INDEX(indices,(2-1)*5+3,12))</f>
        <v>Zero To Hero</v>
      </c>
      <c r="D10" s="3" t="str">
        <f>INDEX(Disney,INDEX(indices,(2-1)*5+4,12))</f>
        <v>Mickey Mouse Club March</v>
      </c>
      <c r="E10" s="3" t="str">
        <f>INDEX(Disney,INDEX(indices,(2-1)*5+5,12))</f>
        <v>The Incredits</v>
      </c>
    </row>
    <row r="11" spans="1:5" ht="93" customHeight="1" x14ac:dyDescent="0.25">
      <c r="A11" s="3" t="str">
        <f>INDEX(Disney,INDEX(indices,(3-1)*5+1,12))</f>
        <v>Under the Sea</v>
      </c>
      <c r="B11" s="3" t="str">
        <f>INDEX(Disney,INDEX(indices,(3-1)*5+2,12))</f>
        <v>Bibbidi-Bobbidi-Boo</v>
      </c>
      <c r="C11" s="3" t="str">
        <f>INDEX(Disney,INDEX(indices,(3-1)*5+3,12))</f>
        <v>Flitterin'</v>
      </c>
      <c r="D11" s="3" t="str">
        <f>INDEX(Disney,INDEX(indices,(3-1)*5+4,12))</f>
        <v>Hakuna Matata</v>
      </c>
      <c r="E11" s="3" t="str">
        <f>INDEX(Disney,INDEX(indices,(3-1)*5+5,12))</f>
        <v>Remember Me</v>
      </c>
    </row>
    <row r="12" spans="1:5" ht="93" customHeight="1" x14ac:dyDescent="0.25">
      <c r="A12" s="3" t="str">
        <f>INDEX(Disney,INDEX(indices,(4-1)*5+1,12))</f>
        <v>If I Didn't Have You</v>
      </c>
      <c r="B12" s="3" t="str">
        <f>INDEX(Disney,INDEX(indices,(4-1)*5+2,12))</f>
        <v>Swissapolka</v>
      </c>
      <c r="C12" s="3" t="str">
        <f>INDEX(Disney,INDEX(indices,(4-1)*5+3,12))</f>
        <v>The Tiki, Tiki, Tiki Room</v>
      </c>
      <c r="D12" s="3" t="str">
        <f>INDEX(Disney,INDEX(indices,(4-1)*5+4,12))</f>
        <v>DuckTales</v>
      </c>
      <c r="E12" s="3" t="str">
        <f>INDEX(Disney,INDEX(indices,(4-1)*5+5,12))</f>
        <v>Love</v>
      </c>
    </row>
    <row r="13" spans="1:5" ht="93" customHeight="1" x14ac:dyDescent="0.25">
      <c r="A13" s="3" t="str">
        <f>INDEX(Disney,INDEX(indices,(5-1)*5+1,12))</f>
        <v>Try Everything</v>
      </c>
      <c r="B13" s="3" t="str">
        <f>INDEX(Disney,INDEX(indices,(5-1)*5+2,12))</f>
        <v>Step In Time</v>
      </c>
      <c r="C13" s="3" t="str">
        <f>INDEX(Disney,INDEX(indices,(5-1)*5+3,12))</f>
        <v>When You Wish Upon a Star</v>
      </c>
      <c r="D13" s="3" t="str">
        <f>INDEX(Disney,INDEX(indices,(5-1)*5+4,12))</f>
        <v>It's All Right</v>
      </c>
      <c r="E13" s="3" t="str">
        <f>INDEX(Disney,INDEX(indices,(5-1)*5+5,12))</f>
        <v>Back In the Saddle</v>
      </c>
    </row>
    <row r="14" spans="1:5" ht="93" customHeight="1" x14ac:dyDescent="0.25">
      <c r="A14" s="39"/>
      <c r="B14" s="39" t="s">
        <v>164</v>
      </c>
      <c r="C14" s="39" t="s">
        <v>296</v>
      </c>
      <c r="D14" s="39" t="s">
        <v>295</v>
      </c>
      <c r="E14" s="39"/>
    </row>
  </sheetData>
  <mergeCells count="2">
    <mergeCell ref="A1:E1"/>
    <mergeCell ref="A8:E8"/>
  </mergeCells>
  <conditionalFormatting sqref="A2:E6">
    <cfRule type="expression" dxfId="39" priority="2" stopIfTrue="1">
      <formula>LOWER(INDEX(Disney_Played,MATCH(A2,Disney,0)))="x"</formula>
    </cfRule>
  </conditionalFormatting>
  <conditionalFormatting sqref="A9:E13">
    <cfRule type="expression" dxfId="38" priority="1" stopIfTrue="1">
      <formula>LOWER(INDEX(Disney_Played,MATCH(A9,Disney,0)))="x"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60CD7-16E1-41D2-85BD-BB8FCB2A9BB4}">
  <sheetPr codeName="Sheet10"/>
  <dimension ref="A1:E14"/>
  <sheetViews>
    <sheetView workbookViewId="0">
      <selection activeCell="A9" sqref="A9:E13"/>
    </sheetView>
  </sheetViews>
  <sheetFormatPr defaultColWidth="17.7109375" defaultRowHeight="93" customHeight="1" x14ac:dyDescent="0.25"/>
  <sheetData>
    <row r="1" spans="1:5" ht="93" customHeight="1" x14ac:dyDescent="0.25">
      <c r="A1" s="43" t="s">
        <v>230</v>
      </c>
      <c r="B1" s="43"/>
      <c r="C1" s="43"/>
      <c r="D1" s="43"/>
      <c r="E1" s="43"/>
    </row>
    <row r="2" spans="1:5" ht="93" customHeight="1" x14ac:dyDescent="0.25">
      <c r="A2" s="3" t="str">
        <f>INDEX(Disney,INDEX(indices,(1-1)*5+1,13))</f>
        <v>It's a Small World</v>
      </c>
      <c r="B2" s="3" t="str">
        <f>INDEX(Disney,INDEX(indices,(1-1)*5+2,13))</f>
        <v>Let It Go</v>
      </c>
      <c r="C2" s="3" t="str">
        <f>INDEX(Disney,INDEX(indices,(1-1)*5+3,13))</f>
        <v>Try Everything</v>
      </c>
      <c r="D2" s="3" t="str">
        <f>INDEX(Disney,INDEX(indices,(1-1)*5+4,13))</f>
        <v>The Tiki, Tiki, Tiki Room</v>
      </c>
      <c r="E2" s="3" t="str">
        <f>INDEX(Disney,INDEX(indices,(1-1)*5+5,13))</f>
        <v>What's My Name</v>
      </c>
    </row>
    <row r="3" spans="1:5" ht="93" customHeight="1" x14ac:dyDescent="0.25">
      <c r="A3" s="3" t="str">
        <f>INDEX(Disney,INDEX(indices,(2-1)*5+1,13))</f>
        <v>Step In Time</v>
      </c>
      <c r="B3" s="3" t="str">
        <f>INDEX(Disney,INDEX(indices,(2-1)*5+2,13))</f>
        <v>Be Our Guest</v>
      </c>
      <c r="C3" s="3" t="str">
        <f>INDEX(Disney,INDEX(indices,(2-1)*5+3,13))</f>
        <v>Zero To Hero</v>
      </c>
      <c r="D3" s="3" t="str">
        <f>INDEX(Disney,INDEX(indices,(2-1)*5+4,13))</f>
        <v>Friend Like Me</v>
      </c>
      <c r="E3" s="3" t="str">
        <f>INDEX(Disney,INDEX(indices,(2-1)*5+5,13))</f>
        <v>Swissapolka</v>
      </c>
    </row>
    <row r="4" spans="1:5" ht="93" customHeight="1" x14ac:dyDescent="0.25">
      <c r="A4" s="3" t="str">
        <f>INDEX(Disney,INDEX(indices,(3-1)*5+1,13))</f>
        <v>Baby Mine</v>
      </c>
      <c r="B4" s="3" t="str">
        <f>INDEX(Disney,INDEX(indices,(3-1)*5+2,13))</f>
        <v>You'll Be In My Heart</v>
      </c>
      <c r="C4" s="3" t="str">
        <f>INDEX(Disney,INDEX(indices,(3-1)*5+3,13))</f>
        <v>A Guy Like You</v>
      </c>
      <c r="D4" s="3" t="str">
        <f>INDEX(Disney,INDEX(indices,(3-1)*5+4,13))</f>
        <v>All Aboard</v>
      </c>
      <c r="E4" s="3" t="str">
        <f>INDEX(Disney,INDEX(indices,(3-1)*5+5,13))</f>
        <v>Bibbidi-Bobbidi-Boo</v>
      </c>
    </row>
    <row r="5" spans="1:5" ht="93" customHeight="1" x14ac:dyDescent="0.25">
      <c r="A5" s="3" t="str">
        <f>INDEX(Disney,INDEX(indices,(4-1)*5+1,13))</f>
        <v>Just Keep Swimming</v>
      </c>
      <c r="B5" s="3" t="str">
        <f>INDEX(Disney,INDEX(indices,(4-1)*5+2,13))</f>
        <v>Zero</v>
      </c>
      <c r="C5" s="3" t="str">
        <f>INDEX(Disney,INDEX(indices,(4-1)*5+3,13))</f>
        <v>That's How You Know</v>
      </c>
      <c r="D5" s="3" t="str">
        <f>INDEX(Disney,INDEX(indices,(4-1)*5+4,13))</f>
        <v>Hakuna Matata</v>
      </c>
      <c r="E5" s="3" t="str">
        <f>INDEX(Disney,INDEX(indices,(4-1)*5+5,13))</f>
        <v>Heigh-Ho</v>
      </c>
    </row>
    <row r="6" spans="1:5" ht="93" customHeight="1" x14ac:dyDescent="0.25">
      <c r="A6" s="3" t="str">
        <f>INDEX(Disney,INDEX(indices,(5-1)*5+1,13))</f>
        <v>Remember Me</v>
      </c>
      <c r="B6" s="3" t="str">
        <f>INDEX(Disney,INDEX(indices,(5-1)*5+2,13))</f>
        <v>How Far I'll Go</v>
      </c>
      <c r="C6" s="3" t="str">
        <f>INDEX(Disney,INDEX(indices,(5-1)*5+3,13))</f>
        <v>Mickey Mouse Club March</v>
      </c>
      <c r="D6" s="3" t="str">
        <f>INDEX(Disney,INDEX(indices,(5-1)*5+4,13))</f>
        <v>Love</v>
      </c>
      <c r="E6" s="3" t="str">
        <f>INDEX(Disney,INDEX(indices,(5-1)*5+5,13))</f>
        <v>Fantasmic!</v>
      </c>
    </row>
    <row r="7" spans="1:5" ht="93" customHeight="1" x14ac:dyDescent="0.25">
      <c r="A7" s="39"/>
      <c r="B7" s="39" t="s">
        <v>165</v>
      </c>
      <c r="C7" s="39" t="s">
        <v>294</v>
      </c>
      <c r="D7" s="39" t="s">
        <v>295</v>
      </c>
      <c r="E7" s="39"/>
    </row>
    <row r="8" spans="1:5" ht="93" customHeight="1" x14ac:dyDescent="0.25">
      <c r="A8" s="43" t="s">
        <v>230</v>
      </c>
      <c r="B8" s="43"/>
      <c r="C8" s="43"/>
      <c r="D8" s="43"/>
      <c r="E8" s="43"/>
    </row>
    <row r="9" spans="1:5" ht="93" customHeight="1" x14ac:dyDescent="0.25">
      <c r="A9" s="3" t="str">
        <f>INDEX(Disney,INDEX(indices,(1-1)*5+1,14))</f>
        <v>A Whole New World</v>
      </c>
      <c r="B9" s="3" t="str">
        <f>INDEX(Disney,INDEX(indices,(1-1)*5+2,14))</f>
        <v>It's All Right</v>
      </c>
      <c r="C9" s="3" t="str">
        <f>INDEX(Disney,INDEX(indices,(1-1)*5+3,14))</f>
        <v>Bibbidi-Bobbidi-Boo</v>
      </c>
      <c r="D9" s="3" t="str">
        <f>INDEX(Disney,INDEX(indices,(1-1)*5+4,14))</f>
        <v>A Guy Like You</v>
      </c>
      <c r="E9" s="3" t="str">
        <f>INDEX(Disney,INDEX(indices,(1-1)*5+5,14))</f>
        <v>Thomas O'Malley Cat</v>
      </c>
    </row>
    <row r="10" spans="1:5" ht="93" customHeight="1" x14ac:dyDescent="0.25">
      <c r="A10" s="3" t="str">
        <f>INDEX(Disney,INDEX(indices,(2-1)*5+1,14))</f>
        <v>Back In the Saddle</v>
      </c>
      <c r="B10" s="3" t="str">
        <f>INDEX(Disney,INDEX(indices,(2-1)*5+2,14))</f>
        <v>What's My Name</v>
      </c>
      <c r="C10" s="3" t="str">
        <f>INDEX(Disney,INDEX(indices,(2-1)*5+3,14))</f>
        <v>You've Got a Friend in Me</v>
      </c>
      <c r="D10" s="3" t="str">
        <f>INDEX(Disney,INDEX(indices,(2-1)*5+4,14))</f>
        <v>Life Is a Highway</v>
      </c>
      <c r="E10" s="3" t="str">
        <f>INDEX(Disney,INDEX(indices,(2-1)*5+5,14))</f>
        <v>Remember Me</v>
      </c>
    </row>
    <row r="11" spans="1:5" ht="93" customHeight="1" x14ac:dyDescent="0.25">
      <c r="A11" s="3" t="str">
        <f>INDEX(Disney,INDEX(indices,(3-1)*5+1,14))</f>
        <v>Flitterin'</v>
      </c>
      <c r="B11" s="3" t="str">
        <f>INDEX(Disney,INDEX(indices,(3-1)*5+2,14))</f>
        <v>Be Our Guest</v>
      </c>
      <c r="C11" s="3" t="str">
        <f>INDEX(Disney,INDEX(indices,(3-1)*5+3,14))</f>
        <v>The Tiki, Tiki, Tiki Room</v>
      </c>
      <c r="D11" s="3" t="str">
        <f>INDEX(Disney,INDEX(indices,(3-1)*5+4,14))</f>
        <v>That's the Life</v>
      </c>
      <c r="E11" s="3" t="str">
        <f>INDEX(Disney,INDEX(indices,(3-1)*5+5,14))</f>
        <v>Swissapolka</v>
      </c>
    </row>
    <row r="12" spans="1:5" ht="93" customHeight="1" x14ac:dyDescent="0.25">
      <c r="A12" s="3" t="str">
        <f>INDEX(Disney,INDEX(indices,(4-1)*5+1,14))</f>
        <v>You'll Be In My Heart</v>
      </c>
      <c r="B12" s="3" t="str">
        <f>INDEX(Disney,INDEX(indices,(4-1)*5+2,14))</f>
        <v>He Mele No Lilo</v>
      </c>
      <c r="C12" s="3" t="str">
        <f>INDEX(Disney,INDEX(indices,(4-1)*5+3,14))</f>
        <v>Once Upon a Dream</v>
      </c>
      <c r="D12" s="3" t="str">
        <f>INDEX(Disney,INDEX(indices,(4-1)*5+4,14))</f>
        <v>Friend Like Me</v>
      </c>
      <c r="E12" s="3" t="str">
        <f>INDEX(Disney,INDEX(indices,(4-1)*5+5,14))</f>
        <v>The Incredits</v>
      </c>
    </row>
    <row r="13" spans="1:5" ht="93" customHeight="1" x14ac:dyDescent="0.25">
      <c r="A13" s="3" t="str">
        <f>INDEX(Disney,INDEX(indices,(5-1)*5+1,14))</f>
        <v>Touch the Sky</v>
      </c>
      <c r="B13" s="3" t="str">
        <f>INDEX(Disney,INDEX(indices,(5-1)*5+2,14))</f>
        <v>Zero</v>
      </c>
      <c r="C13" s="3" t="str">
        <f>INDEX(Disney,INDEX(indices,(5-1)*5+3,14))</f>
        <v>Why Should I Worry</v>
      </c>
      <c r="D13" s="3" t="str">
        <f>INDEX(Disney,INDEX(indices,(5-1)*5+4,14))</f>
        <v>Steamboat Willie</v>
      </c>
      <c r="E13" s="3" t="str">
        <f>INDEX(Disney,INDEX(indices,(5-1)*5+5,14))</f>
        <v>Under the Sea</v>
      </c>
    </row>
    <row r="14" spans="1:5" ht="93" customHeight="1" x14ac:dyDescent="0.25">
      <c r="A14" s="39"/>
      <c r="B14" s="39" t="s">
        <v>165</v>
      </c>
      <c r="C14" s="39" t="s">
        <v>296</v>
      </c>
      <c r="D14" s="39" t="s">
        <v>295</v>
      </c>
      <c r="E14" s="39"/>
    </row>
  </sheetData>
  <mergeCells count="2">
    <mergeCell ref="A1:E1"/>
    <mergeCell ref="A8:E8"/>
  </mergeCells>
  <conditionalFormatting sqref="A2:E6">
    <cfRule type="expression" dxfId="37" priority="2" stopIfTrue="1">
      <formula>LOWER(INDEX(Disney_Played,MATCH(A2,Disney,0)))="x"</formula>
    </cfRule>
  </conditionalFormatting>
  <conditionalFormatting sqref="A9:E13">
    <cfRule type="expression" dxfId="36" priority="1" stopIfTrue="1">
      <formula>LOWER(INDEX(Disney_Played,MATCH(A9,Disney,0)))="x"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4F26A-2F5A-4398-BC6F-E8105D5FFEAE}">
  <sheetPr codeName="Sheet11"/>
  <dimension ref="A1:E14"/>
  <sheetViews>
    <sheetView workbookViewId="0">
      <selection activeCell="A9" sqref="A9:E13"/>
    </sheetView>
  </sheetViews>
  <sheetFormatPr defaultColWidth="17.7109375" defaultRowHeight="93" customHeight="1" x14ac:dyDescent="0.25"/>
  <sheetData>
    <row r="1" spans="1:5" ht="93" customHeight="1" x14ac:dyDescent="0.25">
      <c r="A1" s="43" t="s">
        <v>230</v>
      </c>
      <c r="B1" s="43"/>
      <c r="C1" s="43"/>
      <c r="D1" s="43"/>
      <c r="E1" s="43"/>
    </row>
    <row r="2" spans="1:5" ht="93" customHeight="1" x14ac:dyDescent="0.25">
      <c r="A2" s="3" t="str">
        <f>INDEX(Disney,INDEX(indices,(1-1)*5+1,15))</f>
        <v>That's How You Know</v>
      </c>
      <c r="B2" s="3" t="str">
        <f>INDEX(Disney,INDEX(indices,(1-1)*5+2,15))</f>
        <v>Flitterin'</v>
      </c>
      <c r="C2" s="3" t="str">
        <f>INDEX(Disney,INDEX(indices,(1-1)*5+3,15))</f>
        <v>Heigh-Ho</v>
      </c>
      <c r="D2" s="3" t="str">
        <f>INDEX(Disney,INDEX(indices,(1-1)*5+4,15))</f>
        <v>Love</v>
      </c>
      <c r="E2" s="3" t="str">
        <f>INDEX(Disney,INDEX(indices,(1-1)*5+5,15))</f>
        <v>Summer Belongs to You</v>
      </c>
    </row>
    <row r="3" spans="1:5" ht="93" customHeight="1" x14ac:dyDescent="0.25">
      <c r="A3" s="3" t="str">
        <f>INDEX(Disney,INDEX(indices,(2-1)*5+1,15))</f>
        <v>That's the Life</v>
      </c>
      <c r="B3" s="3" t="str">
        <f>INDEX(Disney,INDEX(indices,(2-1)*5+2,15))</f>
        <v>Dig a Little Deeper</v>
      </c>
      <c r="C3" s="3" t="str">
        <f>INDEX(Disney,INDEX(indices,(2-1)*5+3,15))</f>
        <v>It's All Right</v>
      </c>
      <c r="D3" s="3" t="str">
        <f>INDEX(Disney,INDEX(indices,(2-1)*5+4,15))</f>
        <v>Bibbidi-Bobbidi-Boo</v>
      </c>
      <c r="E3" s="3" t="str">
        <f>INDEX(Disney,INDEX(indices,(2-1)*5+5,15))</f>
        <v>Friend Like Me</v>
      </c>
    </row>
    <row r="4" spans="1:5" ht="93" customHeight="1" x14ac:dyDescent="0.25">
      <c r="A4" s="3" t="str">
        <f>INDEX(Disney,INDEX(indices,(3-1)*5+1,15))</f>
        <v>Under the Sea</v>
      </c>
      <c r="B4" s="3" t="str">
        <f>INDEX(Disney,INDEX(indices,(3-1)*5+2,15))</f>
        <v>DuckTales</v>
      </c>
      <c r="C4" s="3" t="str">
        <f>INDEX(Disney,INDEX(indices,(3-1)*5+3,15))</f>
        <v>The Twilight Zone Tower of Terror</v>
      </c>
      <c r="D4" s="3" t="str">
        <f>INDEX(Disney,INDEX(indices,(3-1)*5+4,15))</f>
        <v>Remember Me</v>
      </c>
      <c r="E4" s="3" t="str">
        <f>INDEX(Disney,INDEX(indices,(3-1)*5+5,15))</f>
        <v>Just Like Fire</v>
      </c>
    </row>
    <row r="5" spans="1:5" ht="93" customHeight="1" x14ac:dyDescent="0.25">
      <c r="A5" s="3" t="str">
        <f>INDEX(Disney,INDEX(indices,(4-1)*5+1,15))</f>
        <v>The Incredits</v>
      </c>
      <c r="B5" s="3" t="str">
        <f>INDEX(Disney,INDEX(indices,(4-1)*5+2,15))</f>
        <v>A Whole New World</v>
      </c>
      <c r="C5" s="3" t="str">
        <f>INDEX(Disney,INDEX(indices,(4-1)*5+3,15))</f>
        <v>The Bare Necessities</v>
      </c>
      <c r="D5" s="3" t="str">
        <f>INDEX(Disney,INDEX(indices,(4-1)*5+4,15))</f>
        <v>If I Didn't Have You</v>
      </c>
      <c r="E5" s="3" t="str">
        <f>INDEX(Disney,INDEX(indices,(4-1)*5+5,15))</f>
        <v>Iron Man</v>
      </c>
    </row>
    <row r="6" spans="1:5" ht="93" customHeight="1" x14ac:dyDescent="0.25">
      <c r="A6" s="3" t="str">
        <f>INDEX(Disney,INDEX(indices,(5-1)*5+1,15))</f>
        <v>The Imperial March</v>
      </c>
      <c r="B6" s="3" t="str">
        <f>INDEX(Disney,INDEX(indices,(5-1)*5+2,15))</f>
        <v>Oggie Boogie's Song</v>
      </c>
      <c r="C6" s="3" t="str">
        <f>INDEX(Disney,INDEX(indices,(5-1)*5+3,15))</f>
        <v>A Guy Like You</v>
      </c>
      <c r="D6" s="3" t="str">
        <f>INDEX(Disney,INDEX(indices,(5-1)*5+4,15))</f>
        <v>Zero</v>
      </c>
      <c r="E6" s="3" t="str">
        <f>INDEX(Disney,INDEX(indices,(5-1)*5+5,15))</f>
        <v>Be Our Guest</v>
      </c>
    </row>
    <row r="7" spans="1:5" ht="93" customHeight="1" x14ac:dyDescent="0.25">
      <c r="A7" s="39"/>
      <c r="B7" s="39" t="s">
        <v>166</v>
      </c>
      <c r="C7" s="39" t="s">
        <v>294</v>
      </c>
      <c r="D7" s="39" t="s">
        <v>295</v>
      </c>
      <c r="E7" s="39"/>
    </row>
    <row r="8" spans="1:5" ht="93" customHeight="1" x14ac:dyDescent="0.25">
      <c r="A8" s="43" t="s">
        <v>230</v>
      </c>
      <c r="B8" s="43"/>
      <c r="C8" s="43"/>
      <c r="D8" s="43"/>
      <c r="E8" s="43"/>
    </row>
    <row r="9" spans="1:5" ht="93" customHeight="1" x14ac:dyDescent="0.25">
      <c r="A9" s="3" t="str">
        <f>INDEX(Disney,INDEX(indices,(1-1)*5+1,16))</f>
        <v>Just Like Fire</v>
      </c>
      <c r="B9" s="3" t="str">
        <f>INDEX(Disney,INDEX(indices,(1-1)*5+2,16))</f>
        <v>A Pirate's Life</v>
      </c>
      <c r="C9" s="3" t="str">
        <f>INDEX(Disney,INDEX(indices,(1-1)*5+3,16))</f>
        <v>A Whole New World</v>
      </c>
      <c r="D9" s="3" t="str">
        <f>INDEX(Disney,INDEX(indices,(1-1)*5+4,16))</f>
        <v>Try Everything</v>
      </c>
      <c r="E9" s="3" t="str">
        <f>INDEX(Disney,INDEX(indices,(1-1)*5+5,16))</f>
        <v>Soarin'</v>
      </c>
    </row>
    <row r="10" spans="1:5" ht="93" customHeight="1" x14ac:dyDescent="0.25">
      <c r="A10" s="3" t="str">
        <f>INDEX(Disney,INDEX(indices,(2-1)*5+1,16))</f>
        <v>One Little Spark</v>
      </c>
      <c r="B10" s="3" t="str">
        <f>INDEX(Disney,INDEX(indices,(2-1)*5+2,16))</f>
        <v>Heigh-Ho</v>
      </c>
      <c r="C10" s="3" t="str">
        <f>INDEX(Disney,INDEX(indices,(2-1)*5+3,16))</f>
        <v>You've Got a Friend in Me</v>
      </c>
      <c r="D10" s="3" t="str">
        <f>INDEX(Disney,INDEX(indices,(2-1)*5+4,16))</f>
        <v>Remember Me</v>
      </c>
      <c r="E10" s="3" t="str">
        <f>INDEX(Disney,INDEX(indices,(2-1)*5+5,16))</f>
        <v>Love</v>
      </c>
    </row>
    <row r="11" spans="1:5" ht="93" customHeight="1" x14ac:dyDescent="0.25">
      <c r="A11" s="3" t="str">
        <f>INDEX(Disney,INDEX(indices,(3-1)*5+1,16))</f>
        <v>Thomas O'Malley Cat</v>
      </c>
      <c r="B11" s="3" t="str">
        <f>INDEX(Disney,INDEX(indices,(3-1)*5+2,16))</f>
        <v>Winnie the Pooh</v>
      </c>
      <c r="C11" s="3" t="str">
        <f>INDEX(Disney,INDEX(indices,(3-1)*5+3,16))</f>
        <v>Be Our Guest</v>
      </c>
      <c r="D11" s="3" t="str">
        <f>INDEX(Disney,INDEX(indices,(3-1)*5+4,16))</f>
        <v>You'll Be Back</v>
      </c>
      <c r="E11" s="3" t="str">
        <f>INDEX(Disney,INDEX(indices,(3-1)*5+5,16))</f>
        <v>The Bare Necessities</v>
      </c>
    </row>
    <row r="12" spans="1:5" ht="93" customHeight="1" x14ac:dyDescent="0.25">
      <c r="A12" s="3" t="str">
        <f>INDEX(Disney,INDEX(indices,(4-1)*5+1,16))</f>
        <v>Swissapolka</v>
      </c>
      <c r="B12" s="3" t="str">
        <f>INDEX(Disney,INDEX(indices,(4-1)*5+2,16))</f>
        <v>Cantina Band</v>
      </c>
      <c r="C12" s="3" t="str">
        <f>INDEX(Disney,INDEX(indices,(4-1)*5+3,16))</f>
        <v>Touch the Sky</v>
      </c>
      <c r="D12" s="3" t="str">
        <f>INDEX(Disney,INDEX(indices,(4-1)*5+4,16))</f>
        <v>Hakuna Matata</v>
      </c>
      <c r="E12" s="3" t="str">
        <f>INDEX(Disney,INDEX(indices,(4-1)*5+5,16))</f>
        <v>Life Is a Highway</v>
      </c>
    </row>
    <row r="13" spans="1:5" ht="93" customHeight="1" x14ac:dyDescent="0.25">
      <c r="A13" s="3" t="str">
        <f>INDEX(Disney,INDEX(indices,(5-1)*5+1,16))</f>
        <v>Steamboat Willie</v>
      </c>
      <c r="B13" s="3" t="str">
        <f>INDEX(Disney,INDEX(indices,(5-1)*5+2,16))</f>
        <v>Wall-E</v>
      </c>
      <c r="C13" s="3" t="str">
        <f>INDEX(Disney,INDEX(indices,(5-1)*5+3,16))</f>
        <v>DuckTales</v>
      </c>
      <c r="D13" s="3" t="str">
        <f>INDEX(Disney,INDEX(indices,(5-1)*5+4,16))</f>
        <v>That's the Life</v>
      </c>
      <c r="E13" s="3" t="str">
        <f>INDEX(Disney,INDEX(indices,(5-1)*5+5,16))</f>
        <v>How Far I'll Go</v>
      </c>
    </row>
    <row r="14" spans="1:5" ht="93" customHeight="1" x14ac:dyDescent="0.25">
      <c r="A14" s="39"/>
      <c r="B14" s="39" t="s">
        <v>166</v>
      </c>
      <c r="C14" s="39" t="s">
        <v>296</v>
      </c>
      <c r="D14" s="39" t="s">
        <v>295</v>
      </c>
      <c r="E14" s="39"/>
    </row>
  </sheetData>
  <mergeCells count="2">
    <mergeCell ref="A1:E1"/>
    <mergeCell ref="A8:E8"/>
  </mergeCells>
  <conditionalFormatting sqref="A2:E6">
    <cfRule type="expression" dxfId="35" priority="2" stopIfTrue="1">
      <formula>LOWER(INDEX(Disney_Played,MATCH(A2,Disney,0)))="x"</formula>
    </cfRule>
  </conditionalFormatting>
  <conditionalFormatting sqref="A9:E13">
    <cfRule type="expression" dxfId="34" priority="1" stopIfTrue="1">
      <formula>LOWER(INDEX(Disney_Played,MATCH(A9,Disney,0)))="x"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81901-C032-4CA8-89A1-7290E271765E}">
  <sheetPr codeName="Sheet12"/>
  <dimension ref="A1:E14"/>
  <sheetViews>
    <sheetView workbookViewId="0">
      <selection activeCell="A9" sqref="A9:E13"/>
    </sheetView>
  </sheetViews>
  <sheetFormatPr defaultColWidth="17.7109375" defaultRowHeight="93" customHeight="1" x14ac:dyDescent="0.25"/>
  <sheetData>
    <row r="1" spans="1:5" ht="93" customHeight="1" x14ac:dyDescent="0.25">
      <c r="A1" s="43" t="s">
        <v>230</v>
      </c>
      <c r="B1" s="43"/>
      <c r="C1" s="43"/>
      <c r="D1" s="43"/>
      <c r="E1" s="43"/>
    </row>
    <row r="2" spans="1:5" ht="93" customHeight="1" x14ac:dyDescent="0.25">
      <c r="A2" s="3" t="str">
        <f>INDEX(Disney,INDEX(indices,(1-1)*5+1,17))</f>
        <v>Life Is a Highway</v>
      </c>
      <c r="B2" s="3" t="str">
        <f>INDEX(Disney,INDEX(indices,(1-1)*5+2,17))</f>
        <v>A Whole New World</v>
      </c>
      <c r="C2" s="3" t="str">
        <f>INDEX(Disney,INDEX(indices,(1-1)*5+3,17))</f>
        <v>Oggie Boogie's Song</v>
      </c>
      <c r="D2" s="3" t="str">
        <f>INDEX(Disney,INDEX(indices,(1-1)*5+4,17))</f>
        <v>Bibbidi-Bobbidi-Boo</v>
      </c>
      <c r="E2" s="3" t="str">
        <f>INDEX(Disney,INDEX(indices,(1-1)*5+5,17))</f>
        <v>What's My Name</v>
      </c>
    </row>
    <row r="3" spans="1:5" ht="93" customHeight="1" x14ac:dyDescent="0.25">
      <c r="A3" s="3" t="str">
        <f>INDEX(Disney,INDEX(indices,(2-1)*5+1,17))</f>
        <v>I See You</v>
      </c>
      <c r="B3" s="3" t="str">
        <f>INDEX(Disney,INDEX(indices,(2-1)*5+2,17))</f>
        <v>Just Like Fire</v>
      </c>
      <c r="C3" s="3" t="str">
        <f>INDEX(Disney,INDEX(indices,(2-1)*5+3,17))</f>
        <v>The Imperial March</v>
      </c>
      <c r="D3" s="3" t="str">
        <f>INDEX(Disney,INDEX(indices,(2-1)*5+4,17))</f>
        <v>The Tiki, Tiki, Tiki Room</v>
      </c>
      <c r="E3" s="3" t="str">
        <f>INDEX(Disney,INDEX(indices,(2-1)*5+5,17))</f>
        <v>Heigh-Ho</v>
      </c>
    </row>
    <row r="4" spans="1:5" ht="93" customHeight="1" x14ac:dyDescent="0.25">
      <c r="A4" s="3" t="str">
        <f>INDEX(Disney,INDEX(indices,(3-1)*5+1,17))</f>
        <v>It's a Small World</v>
      </c>
      <c r="B4" s="3" t="str">
        <f>INDEX(Disney,INDEX(indices,(3-1)*5+2,17))</f>
        <v>Steamboat Willie</v>
      </c>
      <c r="C4" s="3" t="str">
        <f>INDEX(Disney,INDEX(indices,(3-1)*5+3,17))</f>
        <v>Flitterin'</v>
      </c>
      <c r="D4" s="3" t="str">
        <f>INDEX(Disney,INDEX(indices,(3-1)*5+4,17))</f>
        <v>Zero To Hero</v>
      </c>
      <c r="E4" s="3" t="str">
        <f>INDEX(Disney,INDEX(indices,(3-1)*5+5,17))</f>
        <v>Winnie the Pooh</v>
      </c>
    </row>
    <row r="5" spans="1:5" ht="93" customHeight="1" x14ac:dyDescent="0.25">
      <c r="A5" s="3" t="str">
        <f>INDEX(Disney,INDEX(indices,(4-1)*5+1,17))</f>
        <v>Step In Time</v>
      </c>
      <c r="B5" s="3" t="str">
        <f>INDEX(Disney,INDEX(indices,(4-1)*5+2,17))</f>
        <v>The Twilight Zone Tower of Terror</v>
      </c>
      <c r="C5" s="3" t="str">
        <f>INDEX(Disney,INDEX(indices,(4-1)*5+3,17))</f>
        <v>That's How You Know</v>
      </c>
      <c r="D5" s="3" t="str">
        <f>INDEX(Disney,INDEX(indices,(4-1)*5+4,17))</f>
        <v>Baby Mine</v>
      </c>
      <c r="E5" s="3" t="str">
        <f>INDEX(Disney,INDEX(indices,(4-1)*5+5,17))</f>
        <v>We're All In This Together</v>
      </c>
    </row>
    <row r="6" spans="1:5" ht="93" customHeight="1" x14ac:dyDescent="0.25">
      <c r="A6" s="3" t="str">
        <f>INDEX(Disney,INDEX(indices,(5-1)*5+1,17))</f>
        <v>Just Around the Riverbend</v>
      </c>
      <c r="B6" s="3" t="str">
        <f>INDEX(Disney,INDEX(indices,(5-1)*5+2,17))</f>
        <v>Swissapolka</v>
      </c>
      <c r="C6" s="3" t="str">
        <f>INDEX(Disney,INDEX(indices,(5-1)*5+3,17))</f>
        <v>Hakuna Matata</v>
      </c>
      <c r="D6" s="3" t="str">
        <f>INDEX(Disney,INDEX(indices,(5-1)*5+4,17))</f>
        <v>Be Our Guest</v>
      </c>
      <c r="E6" s="3" t="str">
        <f>INDEX(Disney,INDEX(indices,(5-1)*5+5,17))</f>
        <v>You'll Be Back</v>
      </c>
    </row>
    <row r="7" spans="1:5" ht="93" customHeight="1" x14ac:dyDescent="0.25">
      <c r="A7" s="39"/>
      <c r="B7" s="39" t="s">
        <v>167</v>
      </c>
      <c r="C7" s="39" t="s">
        <v>294</v>
      </c>
      <c r="D7" s="39" t="s">
        <v>295</v>
      </c>
      <c r="E7" s="39"/>
    </row>
    <row r="8" spans="1:5" ht="93" customHeight="1" x14ac:dyDescent="0.25">
      <c r="A8" s="43" t="s">
        <v>230</v>
      </c>
      <c r="B8" s="43"/>
      <c r="C8" s="43"/>
      <c r="D8" s="43"/>
      <c r="E8" s="43"/>
    </row>
    <row r="9" spans="1:5" ht="93" customHeight="1" x14ac:dyDescent="0.25">
      <c r="A9" s="3" t="str">
        <f>INDEX(Disney,INDEX(indices,(1-1)*5+1,18))</f>
        <v>When You Wish Upon a Star</v>
      </c>
      <c r="B9" s="3" t="str">
        <f>INDEX(Disney,INDEX(indices,(1-1)*5+2,18))</f>
        <v>Be Our Guest</v>
      </c>
      <c r="C9" s="3" t="str">
        <f>INDEX(Disney,INDEX(indices,(1-1)*5+3,18))</f>
        <v>All Aboard</v>
      </c>
      <c r="D9" s="3" t="str">
        <f>INDEX(Disney,INDEX(indices,(1-1)*5+4,18))</f>
        <v>I See You</v>
      </c>
      <c r="E9" s="3" t="str">
        <f>INDEX(Disney,INDEX(indices,(1-1)*5+5,18))</f>
        <v>If I Didn't Have You</v>
      </c>
    </row>
    <row r="10" spans="1:5" ht="93" customHeight="1" x14ac:dyDescent="0.25">
      <c r="A10" s="3" t="str">
        <f>INDEX(Disney,INDEX(indices,(2-1)*5+1,18))</f>
        <v>One Little Spark</v>
      </c>
      <c r="B10" s="3" t="str">
        <f>INDEX(Disney,INDEX(indices,(2-1)*5+2,18))</f>
        <v>After Today</v>
      </c>
      <c r="C10" s="3" t="str">
        <f>INDEX(Disney,INDEX(indices,(2-1)*5+3,18))</f>
        <v>Zero To Hero</v>
      </c>
      <c r="D10" s="3" t="str">
        <f>INDEX(Disney,INDEX(indices,(2-1)*5+4,18))</f>
        <v>Hakuna Matata</v>
      </c>
      <c r="E10" s="3" t="str">
        <f>INDEX(Disney,INDEX(indices,(2-1)*5+5,18))</f>
        <v>You'll Be Back</v>
      </c>
    </row>
    <row r="11" spans="1:5" ht="93" customHeight="1" x14ac:dyDescent="0.25">
      <c r="A11" s="3" t="str">
        <f>INDEX(Disney,INDEX(indices,(3-1)*5+1,18))</f>
        <v>Let It Go</v>
      </c>
      <c r="B11" s="3" t="str">
        <f>INDEX(Disney,INDEX(indices,(3-1)*5+2,18))</f>
        <v>Step In Time</v>
      </c>
      <c r="C11" s="3" t="str">
        <f>INDEX(Disney,INDEX(indices,(3-1)*5+3,18))</f>
        <v>Soarin'</v>
      </c>
      <c r="D11" s="3" t="str">
        <f>INDEX(Disney,INDEX(indices,(3-1)*5+4,18))</f>
        <v>A Guy Like You</v>
      </c>
      <c r="E11" s="3" t="str">
        <f>INDEX(Disney,INDEX(indices,(3-1)*5+5,18))</f>
        <v>DuckTales</v>
      </c>
    </row>
    <row r="12" spans="1:5" ht="93" customHeight="1" x14ac:dyDescent="0.25">
      <c r="A12" s="3" t="str">
        <f>INDEX(Disney,INDEX(indices,(4-1)*5+1,18))</f>
        <v>Mickey Mouse Club March</v>
      </c>
      <c r="B12" s="3" t="str">
        <f>INDEX(Disney,INDEX(indices,(4-1)*5+2,18))</f>
        <v>It's All Right</v>
      </c>
      <c r="C12" s="3" t="str">
        <f>INDEX(Disney,INDEX(indices,(4-1)*5+3,18))</f>
        <v>Summer Belongs to You</v>
      </c>
      <c r="D12" s="3" t="str">
        <f>INDEX(Disney,INDEX(indices,(4-1)*5+4,18))</f>
        <v>Why Should I Worry</v>
      </c>
      <c r="E12" s="3" t="str">
        <f>INDEX(Disney,INDEX(indices,(4-1)*5+5,18))</f>
        <v>Love</v>
      </c>
    </row>
    <row r="13" spans="1:5" ht="93" customHeight="1" x14ac:dyDescent="0.25">
      <c r="A13" s="3" t="str">
        <f>INDEX(Disney,INDEX(indices,(5-1)*5+1,18))</f>
        <v>The Imperial March</v>
      </c>
      <c r="B13" s="3" t="str">
        <f>INDEX(Disney,INDEX(indices,(5-1)*5+2,18))</f>
        <v>Iron Man</v>
      </c>
      <c r="C13" s="3" t="str">
        <f>INDEX(Disney,INDEX(indices,(5-1)*5+3,18))</f>
        <v>That's the Life</v>
      </c>
      <c r="D13" s="3" t="str">
        <f>INDEX(Disney,INDEX(indices,(5-1)*5+4,18))</f>
        <v>How Far I'll Go</v>
      </c>
      <c r="E13" s="3" t="str">
        <f>INDEX(Disney,INDEX(indices,(5-1)*5+5,18))</f>
        <v>Winnie the Pooh</v>
      </c>
    </row>
    <row r="14" spans="1:5" ht="93" customHeight="1" x14ac:dyDescent="0.25">
      <c r="A14" s="39"/>
      <c r="B14" s="39" t="s">
        <v>167</v>
      </c>
      <c r="C14" s="39" t="s">
        <v>296</v>
      </c>
      <c r="D14" s="39" t="s">
        <v>295</v>
      </c>
      <c r="E14" s="39"/>
    </row>
  </sheetData>
  <mergeCells count="2">
    <mergeCell ref="A1:E1"/>
    <mergeCell ref="A8:E8"/>
  </mergeCells>
  <conditionalFormatting sqref="A2:E6">
    <cfRule type="expression" dxfId="33" priority="2" stopIfTrue="1">
      <formula>LOWER(INDEX(Disney_Played,MATCH(A2,Disney,0)))="x"</formula>
    </cfRule>
  </conditionalFormatting>
  <conditionalFormatting sqref="A9:E13">
    <cfRule type="expression" dxfId="32" priority="1" stopIfTrue="1">
      <formula>LOWER(INDEX(Disney_Played,MATCH(A9,Disney,0)))="x"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1BF4E-760C-4577-B19E-82C04A2E8BE2}">
  <sheetPr codeName="Sheet13"/>
  <dimension ref="A1:E14"/>
  <sheetViews>
    <sheetView workbookViewId="0">
      <selection activeCell="A9" sqref="A9:E13"/>
    </sheetView>
  </sheetViews>
  <sheetFormatPr defaultColWidth="17.7109375" defaultRowHeight="93" customHeight="1" x14ac:dyDescent="0.25"/>
  <sheetData>
    <row r="1" spans="1:5" ht="93" customHeight="1" x14ac:dyDescent="0.25">
      <c r="A1" s="43" t="s">
        <v>230</v>
      </c>
      <c r="B1" s="43"/>
      <c r="C1" s="43"/>
      <c r="D1" s="43"/>
      <c r="E1" s="43"/>
    </row>
    <row r="2" spans="1:5" ht="93" customHeight="1" x14ac:dyDescent="0.25">
      <c r="A2" s="3" t="str">
        <f>INDEX(Disney,INDEX(indices,(1-1)*5+1,19))</f>
        <v>Mickey Mouse Club March</v>
      </c>
      <c r="B2" s="3" t="str">
        <f>INDEX(Disney,INDEX(indices,(1-1)*5+2,19))</f>
        <v>The Imperial March</v>
      </c>
      <c r="C2" s="3" t="str">
        <f>INDEX(Disney,INDEX(indices,(1-1)*5+3,19))</f>
        <v>A Guy Like You</v>
      </c>
      <c r="D2" s="3" t="str">
        <f>INDEX(Disney,INDEX(indices,(1-1)*5+4,19))</f>
        <v>When You Wish Upon a Star</v>
      </c>
      <c r="E2" s="3" t="str">
        <f>INDEX(Disney,INDEX(indices,(1-1)*5+5,19))</f>
        <v>Step In Time</v>
      </c>
    </row>
    <row r="3" spans="1:5" ht="93" customHeight="1" x14ac:dyDescent="0.25">
      <c r="A3" s="3" t="str">
        <f>INDEX(Disney,INDEX(indices,(2-1)*5+1,19))</f>
        <v>He Mele No Lilo</v>
      </c>
      <c r="B3" s="3" t="str">
        <f>INDEX(Disney,INDEX(indices,(2-1)*5+2,19))</f>
        <v>Try Everything</v>
      </c>
      <c r="C3" s="3" t="str">
        <f>INDEX(Disney,INDEX(indices,(2-1)*5+3,19))</f>
        <v>Soarin'</v>
      </c>
      <c r="D3" s="3" t="str">
        <f>INDEX(Disney,INDEX(indices,(2-1)*5+4,19))</f>
        <v>Under the Sea</v>
      </c>
      <c r="E3" s="3" t="str">
        <f>INDEX(Disney,INDEX(indices,(2-1)*5+5,19))</f>
        <v>It's a Small World</v>
      </c>
    </row>
    <row r="4" spans="1:5" ht="93" customHeight="1" x14ac:dyDescent="0.25">
      <c r="A4" s="3" t="str">
        <f>INDEX(Disney,INDEX(indices,(3-1)*5+1,19))</f>
        <v>Winnie the Pooh</v>
      </c>
      <c r="B4" s="3" t="str">
        <f>INDEX(Disney,INDEX(indices,(3-1)*5+2,19))</f>
        <v>Summer Belongs to You</v>
      </c>
      <c r="C4" s="3" t="str">
        <f>INDEX(Disney,INDEX(indices,(3-1)*5+3,19))</f>
        <v>The Tiki, Tiki, Tiki Room</v>
      </c>
      <c r="D4" s="3" t="str">
        <f>INDEX(Disney,INDEX(indices,(3-1)*5+4,19))</f>
        <v>Once Upon a Dream</v>
      </c>
      <c r="E4" s="3" t="str">
        <f>INDEX(Disney,INDEX(indices,(3-1)*5+5,19))</f>
        <v>Cantina Band</v>
      </c>
    </row>
    <row r="5" spans="1:5" ht="93" customHeight="1" x14ac:dyDescent="0.25">
      <c r="A5" s="3" t="str">
        <f>INDEX(Disney,INDEX(indices,(4-1)*5+1,19))</f>
        <v>We're All In This Together</v>
      </c>
      <c r="B5" s="3" t="str">
        <f>INDEX(Disney,INDEX(indices,(4-1)*5+2,19))</f>
        <v>A Whole New World</v>
      </c>
      <c r="C5" s="3" t="str">
        <f>INDEX(Disney,INDEX(indices,(4-1)*5+3,19))</f>
        <v>Flitterin'</v>
      </c>
      <c r="D5" s="3" t="str">
        <f>INDEX(Disney,INDEX(indices,(4-1)*5+4,19))</f>
        <v>That's How You Know</v>
      </c>
      <c r="E5" s="3" t="str">
        <f>INDEX(Disney,INDEX(indices,(4-1)*5+5,19))</f>
        <v>DuckTales</v>
      </c>
    </row>
    <row r="6" spans="1:5" ht="93" customHeight="1" x14ac:dyDescent="0.25">
      <c r="A6" s="3" t="str">
        <f>INDEX(Disney,INDEX(indices,(5-1)*5+1,19))</f>
        <v>The Bare Necessities</v>
      </c>
      <c r="B6" s="3" t="str">
        <f>INDEX(Disney,INDEX(indices,(5-1)*5+2,19))</f>
        <v>Friend Like Me</v>
      </c>
      <c r="C6" s="3" t="str">
        <f>INDEX(Disney,INDEX(indices,(5-1)*5+3,19))</f>
        <v>If I Didn't Have You</v>
      </c>
      <c r="D6" s="3" t="str">
        <f>INDEX(Disney,INDEX(indices,(5-1)*5+4,19))</f>
        <v>Heigh-Ho</v>
      </c>
      <c r="E6" s="3" t="str">
        <f>INDEX(Disney,INDEX(indices,(5-1)*5+5,19))</f>
        <v>Baby Mine</v>
      </c>
    </row>
    <row r="7" spans="1:5" ht="93" customHeight="1" x14ac:dyDescent="0.25">
      <c r="A7" s="39"/>
      <c r="B7" s="39" t="s">
        <v>168</v>
      </c>
      <c r="C7" s="39" t="s">
        <v>294</v>
      </c>
      <c r="D7" s="39" t="s">
        <v>295</v>
      </c>
      <c r="E7" s="39"/>
    </row>
    <row r="8" spans="1:5" ht="93" customHeight="1" x14ac:dyDescent="0.25">
      <c r="A8" s="43" t="s">
        <v>230</v>
      </c>
      <c r="B8" s="43"/>
      <c r="C8" s="43"/>
      <c r="D8" s="43"/>
      <c r="E8" s="43"/>
    </row>
    <row r="9" spans="1:5" ht="93" customHeight="1" x14ac:dyDescent="0.25">
      <c r="A9" s="3" t="str">
        <f>INDEX(Disney,INDEX(indices,(1-1)*5+1,20))</f>
        <v>After Today</v>
      </c>
      <c r="B9" s="3" t="str">
        <f>INDEX(Disney,INDEX(indices,(1-1)*5+2,20))</f>
        <v>Winnie the Pooh</v>
      </c>
      <c r="C9" s="3" t="str">
        <f>INDEX(Disney,INDEX(indices,(1-1)*5+3,20))</f>
        <v>That's the Life</v>
      </c>
      <c r="D9" s="3" t="str">
        <f>INDEX(Disney,INDEX(indices,(1-1)*5+4,20))</f>
        <v>Wall-E</v>
      </c>
      <c r="E9" s="3" t="str">
        <f>INDEX(Disney,INDEX(indices,(1-1)*5+5,20))</f>
        <v>Step In Time</v>
      </c>
    </row>
    <row r="10" spans="1:5" ht="93" customHeight="1" x14ac:dyDescent="0.25">
      <c r="A10" s="3" t="str">
        <f>INDEX(Disney,INDEX(indices,(2-1)*5+1,20))</f>
        <v>Summer Belongs to You</v>
      </c>
      <c r="B10" s="3" t="str">
        <f>INDEX(Disney,INDEX(indices,(2-1)*5+2,20))</f>
        <v>A Whole New World</v>
      </c>
      <c r="C10" s="3" t="str">
        <f>INDEX(Disney,INDEX(indices,(2-1)*5+3,20))</f>
        <v>Just Keep Swimming</v>
      </c>
      <c r="D10" s="3" t="str">
        <f>INDEX(Disney,INDEX(indices,(2-1)*5+4,20))</f>
        <v>Swissapolka</v>
      </c>
      <c r="E10" s="3" t="str">
        <f>INDEX(Disney,INDEX(indices,(2-1)*5+5,20))</f>
        <v>Fantasmic!</v>
      </c>
    </row>
    <row r="11" spans="1:5" ht="93" customHeight="1" x14ac:dyDescent="0.25">
      <c r="A11" s="3" t="str">
        <f>INDEX(Disney,INDEX(indices,(3-1)*5+1,20))</f>
        <v>You'll Be In My Heart</v>
      </c>
      <c r="B11" s="3" t="str">
        <f>INDEX(Disney,INDEX(indices,(3-1)*5+2,20))</f>
        <v>The Imperial March</v>
      </c>
      <c r="C11" s="3" t="str">
        <f>INDEX(Disney,INDEX(indices,(3-1)*5+3,20))</f>
        <v>Flitterin'</v>
      </c>
      <c r="D11" s="3" t="str">
        <f>INDEX(Disney,INDEX(indices,(3-1)*5+4,20))</f>
        <v>Why Should I Worry</v>
      </c>
      <c r="E11" s="3" t="str">
        <f>INDEX(Disney,INDEX(indices,(3-1)*5+5,20))</f>
        <v>Mickey Mouse Club March</v>
      </c>
    </row>
    <row r="12" spans="1:5" ht="93" customHeight="1" x14ac:dyDescent="0.25">
      <c r="A12" s="3" t="str">
        <f>INDEX(Disney,INDEX(indices,(4-1)*5+1,20))</f>
        <v>Bibbidi-Bobbidi-Boo</v>
      </c>
      <c r="B12" s="3" t="str">
        <f>INDEX(Disney,INDEX(indices,(4-1)*5+2,20))</f>
        <v>Heigh-Ho</v>
      </c>
      <c r="C12" s="3" t="str">
        <f>INDEX(Disney,INDEX(indices,(4-1)*5+3,20))</f>
        <v>Zero To Hero</v>
      </c>
      <c r="D12" s="3" t="str">
        <f>INDEX(Disney,INDEX(indices,(4-1)*5+4,20))</f>
        <v>If I Didn't Have You</v>
      </c>
      <c r="E12" s="3" t="str">
        <f>INDEX(Disney,INDEX(indices,(4-1)*5+5,20))</f>
        <v>Soarin'</v>
      </c>
    </row>
    <row r="13" spans="1:5" ht="93" customHeight="1" x14ac:dyDescent="0.25">
      <c r="A13" s="3" t="str">
        <f>INDEX(Disney,INDEX(indices,(5-1)*5+1,20))</f>
        <v>Thomas O'Malley Cat</v>
      </c>
      <c r="B13" s="3" t="str">
        <f>INDEX(Disney,INDEX(indices,(5-1)*5+2,20))</f>
        <v>Cantina Band</v>
      </c>
      <c r="C13" s="3" t="str">
        <f>INDEX(Disney,INDEX(indices,(5-1)*5+3,20))</f>
        <v>Under the Sea</v>
      </c>
      <c r="D13" s="3" t="str">
        <f>INDEX(Disney,INDEX(indices,(5-1)*5+4,20))</f>
        <v>Back In the Saddle</v>
      </c>
      <c r="E13" s="3" t="str">
        <f>INDEX(Disney,INDEX(indices,(5-1)*5+5,20))</f>
        <v>Zero</v>
      </c>
    </row>
    <row r="14" spans="1:5" ht="93" customHeight="1" x14ac:dyDescent="0.25">
      <c r="A14" s="39"/>
      <c r="B14" s="39" t="s">
        <v>168</v>
      </c>
      <c r="C14" s="39" t="s">
        <v>296</v>
      </c>
      <c r="D14" s="39" t="s">
        <v>295</v>
      </c>
      <c r="E14" s="39"/>
    </row>
  </sheetData>
  <mergeCells count="2">
    <mergeCell ref="A1:E1"/>
    <mergeCell ref="A8:E8"/>
  </mergeCells>
  <conditionalFormatting sqref="A2:E6">
    <cfRule type="expression" dxfId="31" priority="2" stopIfTrue="1">
      <formula>LOWER(INDEX(Disney_Played,MATCH(A2,Disney,0)))="x"</formula>
    </cfRule>
  </conditionalFormatting>
  <conditionalFormatting sqref="A9:E13">
    <cfRule type="expression" dxfId="30" priority="1" stopIfTrue="1">
      <formula>LOWER(INDEX(Disney_Played,MATCH(A9,Disney,0)))="x"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04580-0B39-418A-A65B-21DC9048F613}">
  <sheetPr codeName="Sheet14"/>
  <dimension ref="A1:E14"/>
  <sheetViews>
    <sheetView workbookViewId="0">
      <selection activeCell="A9" sqref="A9:E13"/>
    </sheetView>
  </sheetViews>
  <sheetFormatPr defaultColWidth="17.7109375" defaultRowHeight="93" customHeight="1" x14ac:dyDescent="0.25"/>
  <sheetData>
    <row r="1" spans="1:5" ht="93" customHeight="1" x14ac:dyDescent="0.25">
      <c r="A1" s="43" t="s">
        <v>230</v>
      </c>
      <c r="B1" s="43"/>
      <c r="C1" s="43"/>
      <c r="D1" s="43"/>
      <c r="E1" s="43"/>
    </row>
    <row r="2" spans="1:5" ht="93" customHeight="1" x14ac:dyDescent="0.25">
      <c r="A2" s="3" t="str">
        <f>INDEX(Disney,INDEX(indices,(1-1)*5+1,21))</f>
        <v>It's a Small World</v>
      </c>
      <c r="B2" s="3" t="str">
        <f>INDEX(Disney,INDEX(indices,(1-1)*5+2,21))</f>
        <v>How Far I'll Go</v>
      </c>
      <c r="C2" s="3" t="str">
        <f>INDEX(Disney,INDEX(indices,(1-1)*5+3,21))</f>
        <v>Just Keep Swimming</v>
      </c>
      <c r="D2" s="3" t="str">
        <f>INDEX(Disney,INDEX(indices,(1-1)*5+4,21))</f>
        <v>Steamboat Willie</v>
      </c>
      <c r="E2" s="3" t="str">
        <f>INDEX(Disney,INDEX(indices,(1-1)*5+5,21))</f>
        <v>Just Around the Riverbend</v>
      </c>
    </row>
    <row r="3" spans="1:5" ht="93" customHeight="1" x14ac:dyDescent="0.25">
      <c r="A3" s="3" t="str">
        <f>INDEX(Disney,INDEX(indices,(2-1)*5+1,21))</f>
        <v>It's All Right</v>
      </c>
      <c r="B3" s="3" t="str">
        <f>INDEX(Disney,INDEX(indices,(2-1)*5+2,21))</f>
        <v>Touch the Sky</v>
      </c>
      <c r="C3" s="3" t="str">
        <f>INDEX(Disney,INDEX(indices,(2-1)*5+3,21))</f>
        <v>Heigh-Ho</v>
      </c>
      <c r="D3" s="3" t="str">
        <f>INDEX(Disney,INDEX(indices,(2-1)*5+4,21))</f>
        <v>Cantina Band</v>
      </c>
      <c r="E3" s="3" t="str">
        <f>INDEX(Disney,INDEX(indices,(2-1)*5+5,21))</f>
        <v>Dig a Little Deeper</v>
      </c>
    </row>
    <row r="4" spans="1:5" ht="93" customHeight="1" x14ac:dyDescent="0.25">
      <c r="A4" s="3" t="str">
        <f>INDEX(Disney,INDEX(indices,(3-1)*5+1,21))</f>
        <v>You'll Be In My Heart</v>
      </c>
      <c r="B4" s="3" t="str">
        <f>INDEX(Disney,INDEX(indices,(3-1)*5+2,21))</f>
        <v>Life Is a Highway</v>
      </c>
      <c r="C4" s="3" t="str">
        <f>INDEX(Disney,INDEX(indices,(3-1)*5+3,21))</f>
        <v>Iron Man</v>
      </c>
      <c r="D4" s="3" t="str">
        <f>INDEX(Disney,INDEX(indices,(3-1)*5+4,21))</f>
        <v>The Imperial March</v>
      </c>
      <c r="E4" s="3" t="str">
        <f>INDEX(Disney,INDEX(indices,(3-1)*5+5,21))</f>
        <v>A Pirate's Life</v>
      </c>
    </row>
    <row r="5" spans="1:5" ht="93" customHeight="1" x14ac:dyDescent="0.25">
      <c r="A5" s="3" t="str">
        <f>INDEX(Disney,INDEX(indices,(4-1)*5+1,21))</f>
        <v>What's My Name</v>
      </c>
      <c r="B5" s="3" t="str">
        <f>INDEX(Disney,INDEX(indices,(4-1)*5+2,21))</f>
        <v>Once Upon a Dream</v>
      </c>
      <c r="C5" s="3" t="str">
        <f>INDEX(Disney,INDEX(indices,(4-1)*5+3,21))</f>
        <v>That's How You Know</v>
      </c>
      <c r="D5" s="3" t="str">
        <f>INDEX(Disney,INDEX(indices,(4-1)*5+4,21))</f>
        <v>Zero To Hero</v>
      </c>
      <c r="E5" s="3" t="str">
        <f>INDEX(Disney,INDEX(indices,(4-1)*5+5,21))</f>
        <v>The Tiki, Tiki, Tiki Room</v>
      </c>
    </row>
    <row r="6" spans="1:5" ht="93" customHeight="1" x14ac:dyDescent="0.25">
      <c r="A6" s="3" t="str">
        <f>INDEX(Disney,INDEX(indices,(5-1)*5+1,21))</f>
        <v>Soarin'</v>
      </c>
      <c r="B6" s="3" t="str">
        <f>INDEX(Disney,INDEX(indices,(5-1)*5+2,21))</f>
        <v>Wall-E</v>
      </c>
      <c r="C6" s="3" t="str">
        <f>INDEX(Disney,INDEX(indices,(5-1)*5+3,21))</f>
        <v>Winnie the Pooh</v>
      </c>
      <c r="D6" s="3" t="str">
        <f>INDEX(Disney,INDEX(indices,(5-1)*5+4,21))</f>
        <v>That's the Life</v>
      </c>
      <c r="E6" s="3" t="str">
        <f>INDEX(Disney,INDEX(indices,(5-1)*5+5,21))</f>
        <v>Oggie Boogie's Song</v>
      </c>
    </row>
    <row r="7" spans="1:5" ht="93" customHeight="1" x14ac:dyDescent="0.25">
      <c r="A7" s="39"/>
      <c r="B7" s="39" t="s">
        <v>169</v>
      </c>
      <c r="C7" s="39" t="s">
        <v>294</v>
      </c>
      <c r="D7" s="39" t="s">
        <v>295</v>
      </c>
      <c r="E7" s="39"/>
    </row>
    <row r="8" spans="1:5" ht="93" customHeight="1" x14ac:dyDescent="0.25">
      <c r="A8" s="43" t="s">
        <v>230</v>
      </c>
      <c r="B8" s="43"/>
      <c r="C8" s="43"/>
      <c r="D8" s="43"/>
      <c r="E8" s="43"/>
    </row>
    <row r="9" spans="1:5" ht="93" customHeight="1" x14ac:dyDescent="0.25">
      <c r="A9" s="3" t="str">
        <f>INDEX(Disney,INDEX(indices,(1-1)*5+1,22))</f>
        <v>Steamboat Willie</v>
      </c>
      <c r="B9" s="3" t="str">
        <f>INDEX(Disney,INDEX(indices,(1-1)*5+2,22))</f>
        <v>You'll Be Back</v>
      </c>
      <c r="C9" s="3" t="str">
        <f>INDEX(Disney,INDEX(indices,(1-1)*5+3,22))</f>
        <v>Remember Me</v>
      </c>
      <c r="D9" s="3" t="str">
        <f>INDEX(Disney,INDEX(indices,(1-1)*5+4,22))</f>
        <v>Life Is a Highway</v>
      </c>
      <c r="E9" s="3" t="str">
        <f>INDEX(Disney,INDEX(indices,(1-1)*5+5,22))</f>
        <v>What's My Name</v>
      </c>
    </row>
    <row r="10" spans="1:5" ht="93" customHeight="1" x14ac:dyDescent="0.25">
      <c r="A10" s="3" t="str">
        <f>INDEX(Disney,INDEX(indices,(2-1)*5+1,22))</f>
        <v>I See You</v>
      </c>
      <c r="B10" s="3" t="str">
        <f>INDEX(Disney,INDEX(indices,(2-1)*5+2,22))</f>
        <v>DuckTales</v>
      </c>
      <c r="C10" s="3" t="str">
        <f>INDEX(Disney,INDEX(indices,(2-1)*5+3,22))</f>
        <v>Just Around the Riverbend</v>
      </c>
      <c r="D10" s="3" t="str">
        <f>INDEX(Disney,INDEX(indices,(2-1)*5+4,22))</f>
        <v>A Whole New World</v>
      </c>
      <c r="E10" s="3" t="str">
        <f>INDEX(Disney,INDEX(indices,(2-1)*5+5,22))</f>
        <v>Dig a Little Deeper</v>
      </c>
    </row>
    <row r="11" spans="1:5" ht="93" customHeight="1" x14ac:dyDescent="0.25">
      <c r="A11" s="3" t="str">
        <f>INDEX(Disney,INDEX(indices,(3-1)*5+1,22))</f>
        <v>A Guy Like You</v>
      </c>
      <c r="B11" s="3" t="str">
        <f>INDEX(Disney,INDEX(indices,(3-1)*5+2,22))</f>
        <v>Zero To Hero</v>
      </c>
      <c r="C11" s="3" t="str">
        <f>INDEX(Disney,INDEX(indices,(3-1)*5+3,22))</f>
        <v>Try Everything</v>
      </c>
      <c r="D11" s="3" t="str">
        <f>INDEX(Disney,INDEX(indices,(3-1)*5+4,22))</f>
        <v>Just Keep Swimming</v>
      </c>
      <c r="E11" s="3" t="str">
        <f>INDEX(Disney,INDEX(indices,(3-1)*5+5,22))</f>
        <v>Why Should I Worry</v>
      </c>
    </row>
    <row r="12" spans="1:5" ht="93" customHeight="1" x14ac:dyDescent="0.25">
      <c r="A12" s="3" t="str">
        <f>INDEX(Disney,INDEX(indices,(4-1)*5+1,22))</f>
        <v>Zero</v>
      </c>
      <c r="B12" s="3" t="str">
        <f>INDEX(Disney,INDEX(indices,(4-1)*5+2,22))</f>
        <v>Iron Man</v>
      </c>
      <c r="C12" s="3" t="str">
        <f>INDEX(Disney,INDEX(indices,(4-1)*5+3,22))</f>
        <v>Mickey Mouse Club March</v>
      </c>
      <c r="D12" s="3" t="str">
        <f>INDEX(Disney,INDEX(indices,(4-1)*5+4,22))</f>
        <v>A Pirate's Life</v>
      </c>
      <c r="E12" s="3" t="str">
        <f>INDEX(Disney,INDEX(indices,(4-1)*5+5,22))</f>
        <v>The Imperial March</v>
      </c>
    </row>
    <row r="13" spans="1:5" ht="93" customHeight="1" x14ac:dyDescent="0.25">
      <c r="A13" s="3" t="str">
        <f>INDEX(Disney,INDEX(indices,(5-1)*5+1,22))</f>
        <v>Heigh-Ho</v>
      </c>
      <c r="B13" s="3" t="str">
        <f>INDEX(Disney,INDEX(indices,(5-1)*5+2,22))</f>
        <v>Once Upon a Dream</v>
      </c>
      <c r="C13" s="3" t="str">
        <f>INDEX(Disney,INDEX(indices,(5-1)*5+3,22))</f>
        <v>Love</v>
      </c>
      <c r="D13" s="3" t="str">
        <f>INDEX(Disney,INDEX(indices,(5-1)*5+4,22))</f>
        <v>Back In the Saddle</v>
      </c>
      <c r="E13" s="3" t="str">
        <f>INDEX(Disney,INDEX(indices,(5-1)*5+5,22))</f>
        <v>The Twilight Zone Tower of Terror</v>
      </c>
    </row>
    <row r="14" spans="1:5" ht="93" customHeight="1" x14ac:dyDescent="0.25">
      <c r="A14" s="39"/>
      <c r="B14" s="39" t="s">
        <v>169</v>
      </c>
      <c r="C14" s="39" t="s">
        <v>296</v>
      </c>
      <c r="D14" s="39" t="s">
        <v>295</v>
      </c>
      <c r="E14" s="39"/>
    </row>
  </sheetData>
  <mergeCells count="2">
    <mergeCell ref="A1:E1"/>
    <mergeCell ref="A8:E8"/>
  </mergeCells>
  <conditionalFormatting sqref="A2:E6">
    <cfRule type="expression" dxfId="29" priority="2" stopIfTrue="1">
      <formula>LOWER(INDEX(Disney_Played,MATCH(A2,Disney,0)))="x"</formula>
    </cfRule>
  </conditionalFormatting>
  <conditionalFormatting sqref="A9:E13">
    <cfRule type="expression" dxfId="28" priority="1" stopIfTrue="1">
      <formula>LOWER(INDEX(Disney_Played,MATCH(A9,Disney,0)))="x"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19D5B-CA2B-4FC8-B6A4-CB2CCE6ACE7A}">
  <sheetPr codeName="Sheet15"/>
  <dimension ref="A1:E14"/>
  <sheetViews>
    <sheetView workbookViewId="0">
      <selection activeCell="A9" sqref="A9:E13"/>
    </sheetView>
  </sheetViews>
  <sheetFormatPr defaultColWidth="17.7109375" defaultRowHeight="93" customHeight="1" x14ac:dyDescent="0.25"/>
  <sheetData>
    <row r="1" spans="1:5" ht="93" customHeight="1" x14ac:dyDescent="0.25">
      <c r="A1" s="43" t="s">
        <v>230</v>
      </c>
      <c r="B1" s="43"/>
      <c r="C1" s="43"/>
      <c r="D1" s="43"/>
      <c r="E1" s="43"/>
    </row>
    <row r="2" spans="1:5" ht="93" customHeight="1" x14ac:dyDescent="0.25">
      <c r="A2" s="3" t="str">
        <f>INDEX(Disney,INDEX(indices,(1-1)*5+1,23))</f>
        <v>I See the Light</v>
      </c>
      <c r="B2" s="3" t="str">
        <f>INDEX(Disney,INDEX(indices,(1-1)*5+2,23))</f>
        <v>Dig a Little Deeper</v>
      </c>
      <c r="C2" s="3" t="str">
        <f>INDEX(Disney,INDEX(indices,(1-1)*5+3,23))</f>
        <v>That's the Life</v>
      </c>
      <c r="D2" s="3" t="str">
        <f>INDEX(Disney,INDEX(indices,(1-1)*5+4,23))</f>
        <v>You've Got a Friend in Me</v>
      </c>
      <c r="E2" s="3" t="str">
        <f>INDEX(Disney,INDEX(indices,(1-1)*5+5,23))</f>
        <v>If I Didn't Have You</v>
      </c>
    </row>
    <row r="3" spans="1:5" ht="93" customHeight="1" x14ac:dyDescent="0.25">
      <c r="A3" s="3" t="str">
        <f>INDEX(Disney,INDEX(indices,(2-1)*5+1,23))</f>
        <v>Fantasmic!</v>
      </c>
      <c r="B3" s="3" t="str">
        <f>INDEX(Disney,INDEX(indices,(2-1)*5+2,23))</f>
        <v>It's All Right</v>
      </c>
      <c r="C3" s="3" t="str">
        <f>INDEX(Disney,INDEX(indices,(2-1)*5+3,23))</f>
        <v>Mickey Mouse Club March</v>
      </c>
      <c r="D3" s="3" t="str">
        <f>INDEX(Disney,INDEX(indices,(2-1)*5+4,23))</f>
        <v>We're All In This Together</v>
      </c>
      <c r="E3" s="3" t="str">
        <f>INDEX(Disney,INDEX(indices,(2-1)*5+5,23))</f>
        <v>Why Should I Worry</v>
      </c>
    </row>
    <row r="4" spans="1:5" ht="93" customHeight="1" x14ac:dyDescent="0.25">
      <c r="A4" s="3" t="str">
        <f>INDEX(Disney,INDEX(indices,(3-1)*5+1,23))</f>
        <v>Under the Sea</v>
      </c>
      <c r="B4" s="3" t="str">
        <f>INDEX(Disney,INDEX(indices,(3-1)*5+2,23))</f>
        <v>Winnie the Pooh</v>
      </c>
      <c r="C4" s="3" t="str">
        <f>INDEX(Disney,INDEX(indices,(3-1)*5+3,23))</f>
        <v>Oggie Boogie's Song</v>
      </c>
      <c r="D4" s="3" t="str">
        <f>INDEX(Disney,INDEX(indices,(3-1)*5+4,23))</f>
        <v>Just Around the Riverbend</v>
      </c>
      <c r="E4" s="3" t="str">
        <f>INDEX(Disney,INDEX(indices,(3-1)*5+5,23))</f>
        <v>It's a Small World</v>
      </c>
    </row>
    <row r="5" spans="1:5" ht="93" customHeight="1" x14ac:dyDescent="0.25">
      <c r="A5" s="3" t="str">
        <f>INDEX(Disney,INDEX(indices,(4-1)*5+1,23))</f>
        <v>Just Keep Swimming</v>
      </c>
      <c r="B5" s="3" t="str">
        <f>INDEX(Disney,INDEX(indices,(4-1)*5+2,23))</f>
        <v>Life Is a Highway</v>
      </c>
      <c r="C5" s="3" t="str">
        <f>INDEX(Disney,INDEX(indices,(4-1)*5+3,23))</f>
        <v>Summer Belongs to You</v>
      </c>
      <c r="D5" s="3" t="str">
        <f>INDEX(Disney,INDEX(indices,(4-1)*5+4,23))</f>
        <v>Zero</v>
      </c>
      <c r="E5" s="3" t="str">
        <f>INDEX(Disney,INDEX(indices,(4-1)*5+5,23))</f>
        <v>A Pirate's Life</v>
      </c>
    </row>
    <row r="6" spans="1:5" ht="93" customHeight="1" x14ac:dyDescent="0.25">
      <c r="A6" s="3" t="str">
        <f>INDEX(Disney,INDEX(indices,(5-1)*5+1,23))</f>
        <v>How Far I'll Go</v>
      </c>
      <c r="B6" s="3" t="str">
        <f>INDEX(Disney,INDEX(indices,(5-1)*5+2,23))</f>
        <v>Wall-E</v>
      </c>
      <c r="C6" s="3" t="str">
        <f>INDEX(Disney,INDEX(indices,(5-1)*5+3,23))</f>
        <v>A Guy Like You</v>
      </c>
      <c r="D6" s="3" t="str">
        <f>INDEX(Disney,INDEX(indices,(5-1)*5+4,23))</f>
        <v>You'll Be In My Heart</v>
      </c>
      <c r="E6" s="3" t="str">
        <f>INDEX(Disney,INDEX(indices,(5-1)*5+5,23))</f>
        <v>Cantina Band</v>
      </c>
    </row>
    <row r="7" spans="1:5" ht="93" customHeight="1" x14ac:dyDescent="0.25">
      <c r="A7" s="39"/>
      <c r="B7" s="39" t="s">
        <v>170</v>
      </c>
      <c r="C7" s="39" t="s">
        <v>294</v>
      </c>
      <c r="D7" s="39" t="s">
        <v>295</v>
      </c>
      <c r="E7" s="39"/>
    </row>
    <row r="8" spans="1:5" ht="93" customHeight="1" x14ac:dyDescent="0.25">
      <c r="A8" s="43" t="s">
        <v>230</v>
      </c>
      <c r="B8" s="43"/>
      <c r="C8" s="43"/>
      <c r="D8" s="43"/>
      <c r="E8" s="43"/>
    </row>
    <row r="9" spans="1:5" ht="93" customHeight="1" x14ac:dyDescent="0.25">
      <c r="A9" s="3" t="str">
        <f>INDEX(Disney,INDEX(indices,(1-1)*5+1,24))</f>
        <v>It's a Small World</v>
      </c>
      <c r="B9" s="3" t="str">
        <f>INDEX(Disney,INDEX(indices,(1-1)*5+2,24))</f>
        <v>I See the Light</v>
      </c>
      <c r="C9" s="3" t="str">
        <f>INDEX(Disney,INDEX(indices,(1-1)*5+3,24))</f>
        <v>Bibbidi-Bobbidi-Boo</v>
      </c>
      <c r="D9" s="3" t="str">
        <f>INDEX(Disney,INDEX(indices,(1-1)*5+4,24))</f>
        <v>Remember Me</v>
      </c>
      <c r="E9" s="3" t="str">
        <f>INDEX(Disney,INDEX(indices,(1-1)*5+5,24))</f>
        <v>Once Upon a Dream</v>
      </c>
    </row>
    <row r="10" spans="1:5" ht="93" customHeight="1" x14ac:dyDescent="0.25">
      <c r="A10" s="3" t="str">
        <f>INDEX(Disney,INDEX(indices,(2-1)*5+1,24))</f>
        <v>How Far I'll Go</v>
      </c>
      <c r="B10" s="3" t="str">
        <f>INDEX(Disney,INDEX(indices,(2-1)*5+2,24))</f>
        <v>You'll Be In My Heart</v>
      </c>
      <c r="C10" s="3" t="str">
        <f>INDEX(Disney,INDEX(indices,(2-1)*5+3,24))</f>
        <v>We're All In This Together</v>
      </c>
      <c r="D10" s="3" t="str">
        <f>INDEX(Disney,INDEX(indices,(2-1)*5+4,24))</f>
        <v>Under the Sea</v>
      </c>
      <c r="E10" s="3" t="str">
        <f>INDEX(Disney,INDEX(indices,(2-1)*5+5,24))</f>
        <v>It's All Right</v>
      </c>
    </row>
    <row r="11" spans="1:5" ht="93" customHeight="1" x14ac:dyDescent="0.25">
      <c r="A11" s="3" t="str">
        <f>INDEX(Disney,INDEX(indices,(3-1)*5+1,24))</f>
        <v>The Tiki, Tiki, Tiki Room</v>
      </c>
      <c r="B11" s="3" t="str">
        <f>INDEX(Disney,INDEX(indices,(3-1)*5+2,24))</f>
        <v>Be Our Guest</v>
      </c>
      <c r="C11" s="3" t="str">
        <f>INDEX(Disney,INDEX(indices,(3-1)*5+3,24))</f>
        <v>Back In the Saddle</v>
      </c>
      <c r="D11" s="3" t="str">
        <f>INDEX(Disney,INDEX(indices,(3-1)*5+4,24))</f>
        <v>Step In Time</v>
      </c>
      <c r="E11" s="3" t="str">
        <f>INDEX(Disney,INDEX(indices,(3-1)*5+5,24))</f>
        <v>He Mele No Lilo</v>
      </c>
    </row>
    <row r="12" spans="1:5" ht="93" customHeight="1" x14ac:dyDescent="0.25">
      <c r="A12" s="3" t="str">
        <f>INDEX(Disney,INDEX(indices,(4-1)*5+1,24))</f>
        <v>Dig a Little Deeper</v>
      </c>
      <c r="B12" s="3" t="str">
        <f>INDEX(Disney,INDEX(indices,(4-1)*5+2,24))</f>
        <v>Oggie Boogie's Song</v>
      </c>
      <c r="C12" s="3" t="str">
        <f>INDEX(Disney,INDEX(indices,(4-1)*5+3,24))</f>
        <v>Baby Mine</v>
      </c>
      <c r="D12" s="3" t="str">
        <f>INDEX(Disney,INDEX(indices,(4-1)*5+4,24))</f>
        <v>All Aboard</v>
      </c>
      <c r="E12" s="3" t="str">
        <f>INDEX(Disney,INDEX(indices,(4-1)*5+5,24))</f>
        <v>Steamboat Willie</v>
      </c>
    </row>
    <row r="13" spans="1:5" ht="93" customHeight="1" x14ac:dyDescent="0.25">
      <c r="A13" s="3" t="str">
        <f>INDEX(Disney,INDEX(indices,(5-1)*5+1,24))</f>
        <v>Try Everything</v>
      </c>
      <c r="B13" s="3" t="str">
        <f>INDEX(Disney,INDEX(indices,(5-1)*5+2,24))</f>
        <v>Heigh-Ho</v>
      </c>
      <c r="C13" s="3" t="str">
        <f>INDEX(Disney,INDEX(indices,(5-1)*5+3,24))</f>
        <v>Love</v>
      </c>
      <c r="D13" s="3" t="str">
        <f>INDEX(Disney,INDEX(indices,(5-1)*5+4,24))</f>
        <v>That's How You Know</v>
      </c>
      <c r="E13" s="3" t="str">
        <f>INDEX(Disney,INDEX(indices,(5-1)*5+5,24))</f>
        <v>Cantina Band</v>
      </c>
    </row>
    <row r="14" spans="1:5" ht="93" customHeight="1" x14ac:dyDescent="0.25">
      <c r="A14" s="39"/>
      <c r="B14" s="39" t="s">
        <v>170</v>
      </c>
      <c r="C14" s="39" t="s">
        <v>296</v>
      </c>
      <c r="D14" s="39" t="s">
        <v>295</v>
      </c>
      <c r="E14" s="39"/>
    </row>
  </sheetData>
  <mergeCells count="2">
    <mergeCell ref="A1:E1"/>
    <mergeCell ref="A8:E8"/>
  </mergeCells>
  <conditionalFormatting sqref="A2:E6">
    <cfRule type="expression" dxfId="27" priority="2" stopIfTrue="1">
      <formula>LOWER(INDEX(Disney_Played,MATCH(A2,Disney,0)))="x"</formula>
    </cfRule>
  </conditionalFormatting>
  <conditionalFormatting sqref="A9:E13">
    <cfRule type="expression" dxfId="26" priority="1" stopIfTrue="1">
      <formula>LOWER(INDEX(Disney_Played,MATCH(A9,Disney,0)))="x"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FEE21-6375-4512-8469-8CEF85755D82}">
  <sheetPr codeName="Sheet16"/>
  <dimension ref="A1:E14"/>
  <sheetViews>
    <sheetView workbookViewId="0">
      <selection activeCell="A9" sqref="A9:E13"/>
    </sheetView>
  </sheetViews>
  <sheetFormatPr defaultColWidth="17.7109375" defaultRowHeight="93" customHeight="1" x14ac:dyDescent="0.25"/>
  <sheetData>
    <row r="1" spans="1:5" ht="93" customHeight="1" x14ac:dyDescent="0.25">
      <c r="A1" s="43" t="s">
        <v>230</v>
      </c>
      <c r="B1" s="43"/>
      <c r="C1" s="43"/>
      <c r="D1" s="43"/>
      <c r="E1" s="43"/>
    </row>
    <row r="2" spans="1:5" ht="93" customHeight="1" x14ac:dyDescent="0.25">
      <c r="A2" s="3" t="str">
        <f>INDEX(Disney,INDEX(indices,(1-1)*5+1,25))</f>
        <v>Step In Time</v>
      </c>
      <c r="B2" s="3" t="str">
        <f>INDEX(Disney,INDEX(indices,(1-1)*5+2,25))</f>
        <v>Touch the Sky</v>
      </c>
      <c r="C2" s="3" t="str">
        <f>INDEX(Disney,INDEX(indices,(1-1)*5+3,25))</f>
        <v>Under the Sea</v>
      </c>
      <c r="D2" s="3" t="str">
        <f>INDEX(Disney,INDEX(indices,(1-1)*5+4,25))</f>
        <v>Just Keep Swimming</v>
      </c>
      <c r="E2" s="3" t="str">
        <f>INDEX(Disney,INDEX(indices,(1-1)*5+5,25))</f>
        <v>Heigh-Ho</v>
      </c>
    </row>
    <row r="3" spans="1:5" ht="93" customHeight="1" x14ac:dyDescent="0.25">
      <c r="A3" s="3" t="str">
        <f>INDEX(Disney,INDEX(indices,(2-1)*5+1,25))</f>
        <v>Summer Belongs to You</v>
      </c>
      <c r="B3" s="3" t="str">
        <f>INDEX(Disney,INDEX(indices,(2-1)*5+2,25))</f>
        <v>Life Is a Highway</v>
      </c>
      <c r="C3" s="3" t="str">
        <f>INDEX(Disney,INDEX(indices,(2-1)*5+3,25))</f>
        <v>That's How You Know</v>
      </c>
      <c r="D3" s="3" t="str">
        <f>INDEX(Disney,INDEX(indices,(2-1)*5+4,25))</f>
        <v>Oggie Boogie's Song</v>
      </c>
      <c r="E3" s="3" t="str">
        <f>INDEX(Disney,INDEX(indices,(2-1)*5+5,25))</f>
        <v>We're All In This Together</v>
      </c>
    </row>
    <row r="4" spans="1:5" ht="93" customHeight="1" x14ac:dyDescent="0.25">
      <c r="A4" s="3" t="str">
        <f>INDEX(Disney,INDEX(indices,(3-1)*5+1,25))</f>
        <v>The Imperial March</v>
      </c>
      <c r="B4" s="3" t="str">
        <f>INDEX(Disney,INDEX(indices,(3-1)*5+2,25))</f>
        <v>All Aboard</v>
      </c>
      <c r="C4" s="3" t="str">
        <f>INDEX(Disney,INDEX(indices,(3-1)*5+3,25))</f>
        <v>The Incredits</v>
      </c>
      <c r="D4" s="3" t="str">
        <f>INDEX(Disney,INDEX(indices,(3-1)*5+4,25))</f>
        <v>Remember Me</v>
      </c>
      <c r="E4" s="3" t="str">
        <f>INDEX(Disney,INDEX(indices,(3-1)*5+5,25))</f>
        <v>Swissapolka</v>
      </c>
    </row>
    <row r="5" spans="1:5" ht="93" customHeight="1" x14ac:dyDescent="0.25">
      <c r="A5" s="3" t="str">
        <f>INDEX(Disney,INDEX(indices,(4-1)*5+1,25))</f>
        <v>The Twilight Zone Tower of Terror</v>
      </c>
      <c r="B5" s="3" t="str">
        <f>INDEX(Disney,INDEX(indices,(4-1)*5+2,25))</f>
        <v>I See the Light</v>
      </c>
      <c r="C5" s="3" t="str">
        <f>INDEX(Disney,INDEX(indices,(4-1)*5+3,25))</f>
        <v>Soarin'</v>
      </c>
      <c r="D5" s="3" t="str">
        <f>INDEX(Disney,INDEX(indices,(4-1)*5+4,25))</f>
        <v>Iron Man</v>
      </c>
      <c r="E5" s="3" t="str">
        <f>INDEX(Disney,INDEX(indices,(4-1)*5+5,25))</f>
        <v>A Guy Like You</v>
      </c>
    </row>
    <row r="6" spans="1:5" ht="93" customHeight="1" x14ac:dyDescent="0.25">
      <c r="A6" s="3" t="str">
        <f>INDEX(Disney,INDEX(indices,(5-1)*5+1,25))</f>
        <v>Mickey Mouse Club March</v>
      </c>
      <c r="B6" s="3" t="str">
        <f>INDEX(Disney,INDEX(indices,(5-1)*5+2,25))</f>
        <v>Flitterin'</v>
      </c>
      <c r="C6" s="3" t="str">
        <f>INDEX(Disney,INDEX(indices,(5-1)*5+3,25))</f>
        <v>You'll Be In My Heart</v>
      </c>
      <c r="D6" s="3" t="str">
        <f>INDEX(Disney,INDEX(indices,(5-1)*5+4,25))</f>
        <v>Why Should I Worry</v>
      </c>
      <c r="E6" s="3" t="str">
        <f>INDEX(Disney,INDEX(indices,(5-1)*5+5,25))</f>
        <v>Wall-E</v>
      </c>
    </row>
    <row r="7" spans="1:5" ht="93" customHeight="1" x14ac:dyDescent="0.25">
      <c r="A7" s="39"/>
      <c r="B7" s="39" t="s">
        <v>171</v>
      </c>
      <c r="C7" s="39" t="s">
        <v>294</v>
      </c>
      <c r="D7" s="39" t="s">
        <v>295</v>
      </c>
      <c r="E7" s="39"/>
    </row>
    <row r="8" spans="1:5" ht="93" customHeight="1" x14ac:dyDescent="0.25">
      <c r="A8" s="43" t="s">
        <v>230</v>
      </c>
      <c r="B8" s="43"/>
      <c r="C8" s="43"/>
      <c r="D8" s="43"/>
      <c r="E8" s="43"/>
    </row>
    <row r="9" spans="1:5" ht="93" customHeight="1" x14ac:dyDescent="0.25">
      <c r="A9" s="3" t="str">
        <f>INDEX(Disney,INDEX(indices,(1-1)*5+1,26))</f>
        <v>Once Upon a Dream</v>
      </c>
      <c r="B9" s="3" t="str">
        <f>INDEX(Disney,INDEX(indices,(1-1)*5+2,26))</f>
        <v>Just Around the Riverbend</v>
      </c>
      <c r="C9" s="3" t="str">
        <f>INDEX(Disney,INDEX(indices,(1-1)*5+3,26))</f>
        <v>Heigh-Ho</v>
      </c>
      <c r="D9" s="3" t="str">
        <f>INDEX(Disney,INDEX(indices,(1-1)*5+4,26))</f>
        <v>The Incredits</v>
      </c>
      <c r="E9" s="3" t="str">
        <f>INDEX(Disney,INDEX(indices,(1-1)*5+5,26))</f>
        <v>It's a Small World</v>
      </c>
    </row>
    <row r="10" spans="1:5" ht="93" customHeight="1" x14ac:dyDescent="0.25">
      <c r="A10" s="3" t="str">
        <f>INDEX(Disney,INDEX(indices,(2-1)*5+1,26))</f>
        <v>How Far I'll Go</v>
      </c>
      <c r="B10" s="3" t="str">
        <f>INDEX(Disney,INDEX(indices,(2-1)*5+2,26))</f>
        <v>The Imperial March</v>
      </c>
      <c r="C10" s="3" t="str">
        <f>INDEX(Disney,INDEX(indices,(2-1)*5+3,26))</f>
        <v>What's My Name</v>
      </c>
      <c r="D10" s="3" t="str">
        <f>INDEX(Disney,INDEX(indices,(2-1)*5+4,26))</f>
        <v>That's How You Know</v>
      </c>
      <c r="E10" s="3" t="str">
        <f>INDEX(Disney,INDEX(indices,(2-1)*5+5,26))</f>
        <v>I See You</v>
      </c>
    </row>
    <row r="11" spans="1:5" ht="93" customHeight="1" x14ac:dyDescent="0.25">
      <c r="A11" s="3" t="str">
        <f>INDEX(Disney,INDEX(indices,(3-1)*5+1,26))</f>
        <v>The Bare Necessities</v>
      </c>
      <c r="B11" s="3" t="str">
        <f>INDEX(Disney,INDEX(indices,(3-1)*5+2,26))</f>
        <v>Be Our Guest</v>
      </c>
      <c r="C11" s="3" t="str">
        <f>INDEX(Disney,INDEX(indices,(3-1)*5+3,26))</f>
        <v>Winnie the Pooh</v>
      </c>
      <c r="D11" s="3" t="str">
        <f>INDEX(Disney,INDEX(indices,(3-1)*5+4,26))</f>
        <v>Baby Mine</v>
      </c>
      <c r="E11" s="3" t="str">
        <f>INDEX(Disney,INDEX(indices,(3-1)*5+5,26))</f>
        <v>Let It Go</v>
      </c>
    </row>
    <row r="12" spans="1:5" ht="93" customHeight="1" x14ac:dyDescent="0.25">
      <c r="A12" s="3" t="str">
        <f>INDEX(Disney,INDEX(indices,(4-1)*5+1,26))</f>
        <v>It's All Right</v>
      </c>
      <c r="B12" s="3" t="str">
        <f>INDEX(Disney,INDEX(indices,(4-1)*5+2,26))</f>
        <v>All Aboard</v>
      </c>
      <c r="C12" s="3" t="str">
        <f>INDEX(Disney,INDEX(indices,(4-1)*5+3,26))</f>
        <v>Iron Man</v>
      </c>
      <c r="D12" s="3" t="str">
        <f>INDEX(Disney,INDEX(indices,(4-1)*5+4,26))</f>
        <v>A Whole New World</v>
      </c>
      <c r="E12" s="3" t="str">
        <f>INDEX(Disney,INDEX(indices,(4-1)*5+5,26))</f>
        <v>Flitterin'</v>
      </c>
    </row>
    <row r="13" spans="1:5" ht="93" customHeight="1" x14ac:dyDescent="0.25">
      <c r="A13" s="3" t="str">
        <f>INDEX(Disney,INDEX(indices,(5-1)*5+1,26))</f>
        <v>Just Like Fire</v>
      </c>
      <c r="B13" s="3" t="str">
        <f>INDEX(Disney,INDEX(indices,(5-1)*5+2,26))</f>
        <v>Dig a Little Deeper</v>
      </c>
      <c r="C13" s="3" t="str">
        <f>INDEX(Disney,INDEX(indices,(5-1)*5+3,26))</f>
        <v>Thomas O'Malley Cat</v>
      </c>
      <c r="D13" s="3" t="str">
        <f>INDEX(Disney,INDEX(indices,(5-1)*5+4,26))</f>
        <v>Life Is a Highway</v>
      </c>
      <c r="E13" s="3" t="str">
        <f>INDEX(Disney,INDEX(indices,(5-1)*5+5,26))</f>
        <v>Mickey Mouse Club March</v>
      </c>
    </row>
    <row r="14" spans="1:5" ht="93" customHeight="1" x14ac:dyDescent="0.25">
      <c r="A14" s="39"/>
      <c r="B14" s="39" t="s">
        <v>171</v>
      </c>
      <c r="C14" s="39" t="s">
        <v>296</v>
      </c>
      <c r="D14" s="39" t="s">
        <v>295</v>
      </c>
      <c r="E14" s="39"/>
    </row>
  </sheetData>
  <mergeCells count="2">
    <mergeCell ref="A1:E1"/>
    <mergeCell ref="A8:E8"/>
  </mergeCells>
  <conditionalFormatting sqref="A2:E6">
    <cfRule type="expression" dxfId="25" priority="2" stopIfTrue="1">
      <formula>LOWER(INDEX(Disney_Played,MATCH(A2,Disney,0)))="x"</formula>
    </cfRule>
  </conditionalFormatting>
  <conditionalFormatting sqref="A9:E13">
    <cfRule type="expression" dxfId="24" priority="1" stopIfTrue="1">
      <formula>LOWER(INDEX(Disney_Played,MATCH(A9,Disney,0)))="x"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67792-481E-4FB2-B4F1-D054DDA7F865}">
  <sheetPr codeName="Sheet17"/>
  <dimension ref="A1:E14"/>
  <sheetViews>
    <sheetView workbookViewId="0">
      <selection activeCell="A9" sqref="A9:E13"/>
    </sheetView>
  </sheetViews>
  <sheetFormatPr defaultColWidth="17.7109375" defaultRowHeight="93" customHeight="1" x14ac:dyDescent="0.25"/>
  <sheetData>
    <row r="1" spans="1:5" ht="93" customHeight="1" x14ac:dyDescent="0.25">
      <c r="A1" s="43" t="s">
        <v>230</v>
      </c>
      <c r="B1" s="43"/>
      <c r="C1" s="43"/>
      <c r="D1" s="43"/>
      <c r="E1" s="43"/>
    </row>
    <row r="2" spans="1:5" ht="93" customHeight="1" x14ac:dyDescent="0.25">
      <c r="A2" s="3" t="str">
        <f>INDEX(Disney,INDEX(indices,(1-1)*5+1,27))</f>
        <v>A Guy Like You</v>
      </c>
      <c r="B2" s="3" t="str">
        <f>INDEX(Disney,INDEX(indices,(1-1)*5+2,27))</f>
        <v>Just Keep Swimming</v>
      </c>
      <c r="C2" s="3" t="str">
        <f>INDEX(Disney,INDEX(indices,(1-1)*5+3,27))</f>
        <v>The Tiki, Tiki, Tiki Room</v>
      </c>
      <c r="D2" s="3" t="str">
        <f>INDEX(Disney,INDEX(indices,(1-1)*5+4,27))</f>
        <v>When You Wish Upon a Star</v>
      </c>
      <c r="E2" s="3" t="str">
        <f>INDEX(Disney,INDEX(indices,(1-1)*5+5,27))</f>
        <v>If I Didn't Have You</v>
      </c>
    </row>
    <row r="3" spans="1:5" ht="93" customHeight="1" x14ac:dyDescent="0.25">
      <c r="A3" s="3" t="str">
        <f>INDEX(Disney,INDEX(indices,(2-1)*5+1,27))</f>
        <v>Oggie Boogie's Song</v>
      </c>
      <c r="B3" s="3" t="str">
        <f>INDEX(Disney,INDEX(indices,(2-1)*5+2,27))</f>
        <v>You've Got a Friend in Me</v>
      </c>
      <c r="C3" s="3" t="str">
        <f>INDEX(Disney,INDEX(indices,(2-1)*5+3,27))</f>
        <v>Zero</v>
      </c>
      <c r="D3" s="3" t="str">
        <f>INDEX(Disney,INDEX(indices,(2-1)*5+4,27))</f>
        <v>That's the Life</v>
      </c>
      <c r="E3" s="3" t="str">
        <f>INDEX(Disney,INDEX(indices,(2-1)*5+5,27))</f>
        <v>We're All In This Together</v>
      </c>
    </row>
    <row r="4" spans="1:5" ht="93" customHeight="1" x14ac:dyDescent="0.25">
      <c r="A4" s="3" t="str">
        <f>INDEX(Disney,INDEX(indices,(3-1)*5+1,27))</f>
        <v>Remember Me</v>
      </c>
      <c r="B4" s="3" t="str">
        <f>INDEX(Disney,INDEX(indices,(3-1)*5+2,27))</f>
        <v>Let It Go</v>
      </c>
      <c r="C4" s="3" t="str">
        <f>INDEX(Disney,INDEX(indices,(3-1)*5+3,27))</f>
        <v>Winnie the Pooh</v>
      </c>
      <c r="D4" s="3" t="str">
        <f>INDEX(Disney,INDEX(indices,(3-1)*5+4,27))</f>
        <v>Swissapolka</v>
      </c>
      <c r="E4" s="3" t="str">
        <f>INDEX(Disney,INDEX(indices,(3-1)*5+5,27))</f>
        <v>Fantasmic!</v>
      </c>
    </row>
    <row r="5" spans="1:5" ht="93" customHeight="1" x14ac:dyDescent="0.25">
      <c r="A5" s="3" t="str">
        <f>INDEX(Disney,INDEX(indices,(4-1)*5+1,27))</f>
        <v>Try Everything</v>
      </c>
      <c r="B5" s="3" t="str">
        <f>INDEX(Disney,INDEX(indices,(4-1)*5+2,27))</f>
        <v>Be Our Guest</v>
      </c>
      <c r="C5" s="3" t="str">
        <f>INDEX(Disney,INDEX(indices,(4-1)*5+3,27))</f>
        <v>Summer Belongs to You</v>
      </c>
      <c r="D5" s="3" t="str">
        <f>INDEX(Disney,INDEX(indices,(4-1)*5+4,27))</f>
        <v>I See You</v>
      </c>
      <c r="E5" s="3" t="str">
        <f>INDEX(Disney,INDEX(indices,(4-1)*5+5,27))</f>
        <v>Iron Man</v>
      </c>
    </row>
    <row r="6" spans="1:5" ht="93" customHeight="1" x14ac:dyDescent="0.25">
      <c r="A6" s="3" t="str">
        <f>INDEX(Disney,INDEX(indices,(5-1)*5+1,27))</f>
        <v>Under the Sea</v>
      </c>
      <c r="B6" s="3" t="str">
        <f>INDEX(Disney,INDEX(indices,(5-1)*5+2,27))</f>
        <v>DuckTales</v>
      </c>
      <c r="C6" s="3" t="str">
        <f>INDEX(Disney,INDEX(indices,(5-1)*5+3,27))</f>
        <v>Zero To Hero</v>
      </c>
      <c r="D6" s="3" t="str">
        <f>INDEX(Disney,INDEX(indices,(5-1)*5+4,27))</f>
        <v>Why Should I Worry</v>
      </c>
      <c r="E6" s="3" t="str">
        <f>INDEX(Disney,INDEX(indices,(5-1)*5+5,27))</f>
        <v>Baby Mine</v>
      </c>
    </row>
    <row r="7" spans="1:5" ht="93" customHeight="1" x14ac:dyDescent="0.25">
      <c r="A7" s="39"/>
      <c r="B7" s="39" t="s">
        <v>172</v>
      </c>
      <c r="C7" s="39" t="s">
        <v>294</v>
      </c>
      <c r="D7" s="39" t="s">
        <v>295</v>
      </c>
      <c r="E7" s="39"/>
    </row>
    <row r="8" spans="1:5" ht="93" customHeight="1" x14ac:dyDescent="0.25">
      <c r="A8" s="43" t="s">
        <v>230</v>
      </c>
      <c r="B8" s="43"/>
      <c r="C8" s="43"/>
      <c r="D8" s="43"/>
      <c r="E8" s="43"/>
    </row>
    <row r="9" spans="1:5" ht="93" customHeight="1" x14ac:dyDescent="0.25">
      <c r="A9" s="3" t="str">
        <f>INDEX(Disney,INDEX(indices,(1-1)*5+1,28))</f>
        <v>If I Didn't Have You</v>
      </c>
      <c r="B9" s="3" t="str">
        <f>INDEX(Disney,INDEX(indices,(1-1)*5+2,28))</f>
        <v>Back In the Saddle</v>
      </c>
      <c r="C9" s="3" t="str">
        <f>INDEX(Disney,INDEX(indices,(1-1)*5+3,28))</f>
        <v>That's the Life</v>
      </c>
      <c r="D9" s="3" t="str">
        <f>INDEX(Disney,INDEX(indices,(1-1)*5+4,28))</f>
        <v>It's a Small World</v>
      </c>
      <c r="E9" s="3" t="str">
        <f>INDEX(Disney,INDEX(indices,(1-1)*5+5,28))</f>
        <v>After Today</v>
      </c>
    </row>
    <row r="10" spans="1:5" ht="93" customHeight="1" x14ac:dyDescent="0.25">
      <c r="A10" s="3" t="str">
        <f>INDEX(Disney,INDEX(indices,(2-1)*5+1,28))</f>
        <v>A Guy Like You</v>
      </c>
      <c r="B10" s="3" t="str">
        <f>INDEX(Disney,INDEX(indices,(2-1)*5+2,28))</f>
        <v>It's All Right</v>
      </c>
      <c r="C10" s="3" t="str">
        <f>INDEX(Disney,INDEX(indices,(2-1)*5+3,28))</f>
        <v>Heigh-Ho</v>
      </c>
      <c r="D10" s="3" t="str">
        <f>INDEX(Disney,INDEX(indices,(2-1)*5+4,28))</f>
        <v>Once Upon a Dream</v>
      </c>
      <c r="E10" s="3" t="str">
        <f>INDEX(Disney,INDEX(indices,(2-1)*5+5,28))</f>
        <v>Baby Mine</v>
      </c>
    </row>
    <row r="11" spans="1:5" ht="93" customHeight="1" x14ac:dyDescent="0.25">
      <c r="A11" s="3" t="str">
        <f>INDEX(Disney,INDEX(indices,(3-1)*5+1,28))</f>
        <v>Hakuna Matata</v>
      </c>
      <c r="B11" s="3" t="str">
        <f>INDEX(Disney,INDEX(indices,(3-1)*5+2,28))</f>
        <v>Swissapolka</v>
      </c>
      <c r="C11" s="3" t="str">
        <f>INDEX(Disney,INDEX(indices,(3-1)*5+3,28))</f>
        <v>How Far I'll Go</v>
      </c>
      <c r="D11" s="3" t="str">
        <f>INDEX(Disney,INDEX(indices,(3-1)*5+4,28))</f>
        <v>Life Is a Highway</v>
      </c>
      <c r="E11" s="3" t="str">
        <f>INDEX(Disney,INDEX(indices,(3-1)*5+5,28))</f>
        <v>A Pirate's Life</v>
      </c>
    </row>
    <row r="12" spans="1:5" ht="93" customHeight="1" x14ac:dyDescent="0.25">
      <c r="A12" s="3" t="str">
        <f>INDEX(Disney,INDEX(indices,(4-1)*5+1,28))</f>
        <v>I See the Light</v>
      </c>
      <c r="B12" s="3" t="str">
        <f>INDEX(Disney,INDEX(indices,(4-1)*5+2,28))</f>
        <v>We're All In This Together</v>
      </c>
      <c r="C12" s="3" t="str">
        <f>INDEX(Disney,INDEX(indices,(4-1)*5+3,28))</f>
        <v>Wall-E</v>
      </c>
      <c r="D12" s="3" t="str">
        <f>INDEX(Disney,INDEX(indices,(4-1)*5+4,28))</f>
        <v>All Aboard</v>
      </c>
      <c r="E12" s="3" t="str">
        <f>INDEX(Disney,INDEX(indices,(4-1)*5+5,28))</f>
        <v>Friend Like Me</v>
      </c>
    </row>
    <row r="13" spans="1:5" ht="93" customHeight="1" x14ac:dyDescent="0.25">
      <c r="A13" s="3" t="str">
        <f>INDEX(Disney,INDEX(indices,(5-1)*5+1,28))</f>
        <v>Zero</v>
      </c>
      <c r="B13" s="3" t="str">
        <f>INDEX(Disney,INDEX(indices,(5-1)*5+2,28))</f>
        <v>Zero To Hero</v>
      </c>
      <c r="C13" s="3" t="str">
        <f>INDEX(Disney,INDEX(indices,(5-1)*5+3,28))</f>
        <v>Flitterin'</v>
      </c>
      <c r="D13" s="3" t="str">
        <f>INDEX(Disney,INDEX(indices,(5-1)*5+4,28))</f>
        <v>That's How You Know</v>
      </c>
      <c r="E13" s="3" t="str">
        <f>INDEX(Disney,INDEX(indices,(5-1)*5+5,28))</f>
        <v>Touch the Sky</v>
      </c>
    </row>
    <row r="14" spans="1:5" ht="93" customHeight="1" x14ac:dyDescent="0.25">
      <c r="A14" s="39"/>
      <c r="B14" s="39" t="s">
        <v>172</v>
      </c>
      <c r="C14" s="39" t="s">
        <v>296</v>
      </c>
      <c r="D14" s="39" t="s">
        <v>295</v>
      </c>
      <c r="E14" s="39"/>
    </row>
  </sheetData>
  <mergeCells count="2">
    <mergeCell ref="A1:E1"/>
    <mergeCell ref="A8:E8"/>
  </mergeCells>
  <conditionalFormatting sqref="A2:E6">
    <cfRule type="expression" dxfId="23" priority="2" stopIfTrue="1">
      <formula>LOWER(INDEX(Disney_Played,MATCH(A2,Disney,0)))="x"</formula>
    </cfRule>
  </conditionalFormatting>
  <conditionalFormatting sqref="A9:E13">
    <cfRule type="expression" dxfId="22" priority="1" stopIfTrue="1">
      <formula>LOWER(INDEX(Disney_Played,MATCH(A9,Disney,0)))="x"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9D994-032A-4D76-8DEB-A0776245A373}">
  <sheetPr codeName="Sheet18"/>
  <dimension ref="A1:E14"/>
  <sheetViews>
    <sheetView workbookViewId="0">
      <selection activeCell="A9" sqref="A9:E13"/>
    </sheetView>
  </sheetViews>
  <sheetFormatPr defaultColWidth="17.7109375" defaultRowHeight="93" customHeight="1" x14ac:dyDescent="0.25"/>
  <sheetData>
    <row r="1" spans="1:5" ht="93" customHeight="1" x14ac:dyDescent="0.25">
      <c r="A1" s="43" t="s">
        <v>230</v>
      </c>
      <c r="B1" s="43"/>
      <c r="C1" s="43"/>
      <c r="D1" s="43"/>
      <c r="E1" s="43"/>
    </row>
    <row r="2" spans="1:5" ht="93" customHeight="1" x14ac:dyDescent="0.25">
      <c r="A2" s="3" t="str">
        <f>INDEX(Disney,INDEX(indices,(1-1)*5+1,29))</f>
        <v>We're All In This Together</v>
      </c>
      <c r="B2" s="3" t="str">
        <f>INDEX(Disney,INDEX(indices,(1-1)*5+2,29))</f>
        <v>Touch the Sky</v>
      </c>
      <c r="C2" s="3" t="str">
        <f>INDEX(Disney,INDEX(indices,(1-1)*5+3,29))</f>
        <v>If I Didn't Have You</v>
      </c>
      <c r="D2" s="3" t="str">
        <f>INDEX(Disney,INDEX(indices,(1-1)*5+4,29))</f>
        <v>Hakuna Matata</v>
      </c>
      <c r="E2" s="3" t="str">
        <f>INDEX(Disney,INDEX(indices,(1-1)*5+5,29))</f>
        <v>Wall-E</v>
      </c>
    </row>
    <row r="3" spans="1:5" ht="93" customHeight="1" x14ac:dyDescent="0.25">
      <c r="A3" s="3" t="str">
        <f>INDEX(Disney,INDEX(indices,(2-1)*5+1,29))</f>
        <v>The Tiki, Tiki, Tiki Room</v>
      </c>
      <c r="B3" s="3" t="str">
        <f>INDEX(Disney,INDEX(indices,(2-1)*5+2,29))</f>
        <v>Swissapolka</v>
      </c>
      <c r="C3" s="3" t="str">
        <f>INDEX(Disney,INDEX(indices,(2-1)*5+3,29))</f>
        <v>You'll Be In My Heart</v>
      </c>
      <c r="D3" s="3" t="str">
        <f>INDEX(Disney,INDEX(indices,(2-1)*5+4,29))</f>
        <v>Soarin'</v>
      </c>
      <c r="E3" s="3" t="str">
        <f>INDEX(Disney,INDEX(indices,(2-1)*5+5,29))</f>
        <v>It's All Right</v>
      </c>
    </row>
    <row r="4" spans="1:5" ht="93" customHeight="1" x14ac:dyDescent="0.25">
      <c r="A4" s="3" t="str">
        <f>INDEX(Disney,INDEX(indices,(3-1)*5+1,29))</f>
        <v>He Mele No Lilo</v>
      </c>
      <c r="B4" s="3" t="str">
        <f>INDEX(Disney,INDEX(indices,(3-1)*5+2,29))</f>
        <v>Once Upon a Dream</v>
      </c>
      <c r="C4" s="3" t="str">
        <f>INDEX(Disney,INDEX(indices,(3-1)*5+3,29))</f>
        <v>One Little Spark</v>
      </c>
      <c r="D4" s="3" t="str">
        <f>INDEX(Disney,INDEX(indices,(3-1)*5+4,29))</f>
        <v>Winnie the Pooh</v>
      </c>
      <c r="E4" s="3" t="str">
        <f>INDEX(Disney,INDEX(indices,(3-1)*5+5,29))</f>
        <v>Love</v>
      </c>
    </row>
    <row r="5" spans="1:5" ht="93" customHeight="1" x14ac:dyDescent="0.25">
      <c r="A5" s="3" t="str">
        <f>INDEX(Disney,INDEX(indices,(4-1)*5+1,29))</f>
        <v>I See You</v>
      </c>
      <c r="B5" s="3" t="str">
        <f>INDEX(Disney,INDEX(indices,(4-1)*5+2,29))</f>
        <v>Baby Mine</v>
      </c>
      <c r="C5" s="3" t="str">
        <f>INDEX(Disney,INDEX(indices,(4-1)*5+3,29))</f>
        <v>That's How You Know</v>
      </c>
      <c r="D5" s="3" t="str">
        <f>INDEX(Disney,INDEX(indices,(4-1)*5+4,29))</f>
        <v>Zero</v>
      </c>
      <c r="E5" s="3" t="str">
        <f>INDEX(Disney,INDEX(indices,(4-1)*5+5,29))</f>
        <v>Why Should I Worry</v>
      </c>
    </row>
    <row r="6" spans="1:5" ht="93" customHeight="1" x14ac:dyDescent="0.25">
      <c r="A6" s="3" t="str">
        <f>INDEX(Disney,INDEX(indices,(5-1)*5+1,29))</f>
        <v>Just Like Fire</v>
      </c>
      <c r="B6" s="3" t="str">
        <f>INDEX(Disney,INDEX(indices,(5-1)*5+2,29))</f>
        <v>The Incredits</v>
      </c>
      <c r="C6" s="3" t="str">
        <f>INDEX(Disney,INDEX(indices,(5-1)*5+3,29))</f>
        <v>All Aboard</v>
      </c>
      <c r="D6" s="3" t="str">
        <f>INDEX(Disney,INDEX(indices,(5-1)*5+4,29))</f>
        <v>Just Around the Riverbend</v>
      </c>
      <c r="E6" s="3" t="str">
        <f>INDEX(Disney,INDEX(indices,(5-1)*5+5,29))</f>
        <v>A Guy Like You</v>
      </c>
    </row>
    <row r="7" spans="1:5" ht="93" customHeight="1" x14ac:dyDescent="0.25">
      <c r="A7" s="39"/>
      <c r="B7" s="39" t="s">
        <v>173</v>
      </c>
      <c r="C7" s="39" t="s">
        <v>294</v>
      </c>
      <c r="D7" s="39" t="s">
        <v>295</v>
      </c>
      <c r="E7" s="39"/>
    </row>
    <row r="8" spans="1:5" ht="93" customHeight="1" x14ac:dyDescent="0.25">
      <c r="A8" s="43" t="s">
        <v>230</v>
      </c>
      <c r="B8" s="43"/>
      <c r="C8" s="43"/>
      <c r="D8" s="43"/>
      <c r="E8" s="43"/>
    </row>
    <row r="9" spans="1:5" ht="93" customHeight="1" x14ac:dyDescent="0.25">
      <c r="A9" s="3" t="str">
        <f>INDEX(Disney,INDEX(indices,(1-1)*5+1,30))</f>
        <v>Step In Time</v>
      </c>
      <c r="B9" s="3" t="str">
        <f>INDEX(Disney,INDEX(indices,(1-1)*5+2,30))</f>
        <v>You've Got a Friend in Me</v>
      </c>
      <c r="C9" s="3" t="str">
        <f>INDEX(Disney,INDEX(indices,(1-1)*5+3,30))</f>
        <v>The Tiki, Tiki, Tiki Room</v>
      </c>
      <c r="D9" s="3" t="str">
        <f>INDEX(Disney,INDEX(indices,(1-1)*5+4,30))</f>
        <v>Life Is a Highway</v>
      </c>
      <c r="E9" s="3" t="str">
        <f>INDEX(Disney,INDEX(indices,(1-1)*5+5,30))</f>
        <v>Friend Like Me</v>
      </c>
    </row>
    <row r="10" spans="1:5" ht="93" customHeight="1" x14ac:dyDescent="0.25">
      <c r="A10" s="3" t="str">
        <f>INDEX(Disney,INDEX(indices,(2-1)*5+1,30))</f>
        <v>He Mele No Lilo</v>
      </c>
      <c r="B10" s="3" t="str">
        <f>INDEX(Disney,INDEX(indices,(2-1)*5+2,30))</f>
        <v>Cantina Band</v>
      </c>
      <c r="C10" s="3" t="str">
        <f>INDEX(Disney,INDEX(indices,(2-1)*5+3,30))</f>
        <v>Try Everything</v>
      </c>
      <c r="D10" s="3" t="str">
        <f>INDEX(Disney,INDEX(indices,(2-1)*5+4,30))</f>
        <v>Steamboat Willie</v>
      </c>
      <c r="E10" s="3" t="str">
        <f>INDEX(Disney,INDEX(indices,(2-1)*5+5,30))</f>
        <v>Why Should I Worry</v>
      </c>
    </row>
    <row r="11" spans="1:5" ht="93" customHeight="1" x14ac:dyDescent="0.25">
      <c r="A11" s="3" t="str">
        <f>INDEX(Disney,INDEX(indices,(3-1)*5+1,30))</f>
        <v>A Pirate's Life</v>
      </c>
      <c r="B11" s="3" t="str">
        <f>INDEX(Disney,INDEX(indices,(3-1)*5+2,30))</f>
        <v>Thomas O'Malley Cat</v>
      </c>
      <c r="C11" s="3" t="str">
        <f>INDEX(Disney,INDEX(indices,(3-1)*5+3,30))</f>
        <v>Heigh-Ho</v>
      </c>
      <c r="D11" s="3" t="str">
        <f>INDEX(Disney,INDEX(indices,(3-1)*5+4,30))</f>
        <v>Summer Belongs to You</v>
      </c>
      <c r="E11" s="3" t="str">
        <f>INDEX(Disney,INDEX(indices,(3-1)*5+5,30))</f>
        <v>The Imperial March</v>
      </c>
    </row>
    <row r="12" spans="1:5" ht="93" customHeight="1" x14ac:dyDescent="0.25">
      <c r="A12" s="3" t="str">
        <f>INDEX(Disney,INDEX(indices,(4-1)*5+1,30))</f>
        <v>Flitterin'</v>
      </c>
      <c r="B12" s="3" t="str">
        <f>INDEX(Disney,INDEX(indices,(4-1)*5+2,30))</f>
        <v>How Far I'll Go</v>
      </c>
      <c r="C12" s="3" t="str">
        <f>INDEX(Disney,INDEX(indices,(4-1)*5+3,30))</f>
        <v>It's a Small World</v>
      </c>
      <c r="D12" s="3" t="str">
        <f>INDEX(Disney,INDEX(indices,(4-1)*5+4,30))</f>
        <v>The Bare Necessities</v>
      </c>
      <c r="E12" s="3" t="str">
        <f>INDEX(Disney,INDEX(indices,(4-1)*5+5,30))</f>
        <v>You'll Be In My Heart</v>
      </c>
    </row>
    <row r="13" spans="1:5" ht="93" customHeight="1" x14ac:dyDescent="0.25">
      <c r="A13" s="3" t="str">
        <f>INDEX(Disney,INDEX(indices,(5-1)*5+1,30))</f>
        <v>Fantasmic!</v>
      </c>
      <c r="B13" s="3" t="str">
        <f>INDEX(Disney,INDEX(indices,(5-1)*5+2,30))</f>
        <v>Let It Go</v>
      </c>
      <c r="C13" s="3" t="str">
        <f>INDEX(Disney,INDEX(indices,(5-1)*5+3,30))</f>
        <v>DuckTales</v>
      </c>
      <c r="D13" s="3" t="str">
        <f>INDEX(Disney,INDEX(indices,(5-1)*5+4,30))</f>
        <v>Swissapolka</v>
      </c>
      <c r="E13" s="3" t="str">
        <f>INDEX(Disney,INDEX(indices,(5-1)*5+5,30))</f>
        <v>After Today</v>
      </c>
    </row>
    <row r="14" spans="1:5" ht="93" customHeight="1" x14ac:dyDescent="0.25">
      <c r="A14" s="39"/>
      <c r="B14" s="39" t="s">
        <v>173</v>
      </c>
      <c r="C14" s="39" t="s">
        <v>296</v>
      </c>
      <c r="D14" s="39" t="s">
        <v>295</v>
      </c>
      <c r="E14" s="39"/>
    </row>
  </sheetData>
  <mergeCells count="2">
    <mergeCell ref="A1:E1"/>
    <mergeCell ref="A8:E8"/>
  </mergeCells>
  <conditionalFormatting sqref="A2:E6">
    <cfRule type="expression" dxfId="21" priority="2" stopIfTrue="1">
      <formula>LOWER(INDEX(Disney_Played,MATCH(A2,Disney,0)))="x"</formula>
    </cfRule>
  </conditionalFormatting>
  <conditionalFormatting sqref="A9:E13">
    <cfRule type="expression" dxfId="20" priority="1" stopIfTrue="1">
      <formula>LOWER(INDEX(Disney_Played,MATCH(A9,Disney,0)))="x"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24C7F-DA91-4C6B-9822-9117321C7F56}">
  <sheetPr codeName="Sheet19"/>
  <dimension ref="A1:E14"/>
  <sheetViews>
    <sheetView workbookViewId="0">
      <selection activeCell="A9" sqref="A9:E13"/>
    </sheetView>
  </sheetViews>
  <sheetFormatPr defaultColWidth="17.7109375" defaultRowHeight="93" customHeight="1" x14ac:dyDescent="0.25"/>
  <sheetData>
    <row r="1" spans="1:5" ht="93" customHeight="1" x14ac:dyDescent="0.25">
      <c r="A1" s="43" t="s">
        <v>230</v>
      </c>
      <c r="B1" s="43"/>
      <c r="C1" s="43"/>
      <c r="D1" s="43"/>
      <c r="E1" s="43"/>
    </row>
    <row r="2" spans="1:5" ht="93" customHeight="1" x14ac:dyDescent="0.25">
      <c r="A2" s="3" t="str">
        <f>INDEX(Disney,INDEX(indices,(1-1)*5+1,31))</f>
        <v>Remember Me</v>
      </c>
      <c r="B2" s="3" t="str">
        <f>INDEX(Disney,INDEX(indices,(1-1)*5+2,31))</f>
        <v>Friend Like Me</v>
      </c>
      <c r="C2" s="3" t="str">
        <f>INDEX(Disney,INDEX(indices,(1-1)*5+3,31))</f>
        <v>Fantasmic!</v>
      </c>
      <c r="D2" s="3" t="str">
        <f>INDEX(Disney,INDEX(indices,(1-1)*5+4,31))</f>
        <v>That's the Life</v>
      </c>
      <c r="E2" s="3" t="str">
        <f>INDEX(Disney,INDEX(indices,(1-1)*5+5,31))</f>
        <v>You've Got a Friend in Me</v>
      </c>
    </row>
    <row r="3" spans="1:5" ht="93" customHeight="1" x14ac:dyDescent="0.25">
      <c r="A3" s="3" t="str">
        <f>INDEX(Disney,INDEX(indices,(2-1)*5+1,31))</f>
        <v>Winnie the Pooh</v>
      </c>
      <c r="B3" s="3" t="str">
        <f>INDEX(Disney,INDEX(indices,(2-1)*5+2,31))</f>
        <v>Once Upon a Dream</v>
      </c>
      <c r="C3" s="3" t="str">
        <f>INDEX(Disney,INDEX(indices,(2-1)*5+3,31))</f>
        <v>Just Like Fire</v>
      </c>
      <c r="D3" s="3" t="str">
        <f>INDEX(Disney,INDEX(indices,(2-1)*5+4,31))</f>
        <v>A Guy Like You</v>
      </c>
      <c r="E3" s="3" t="str">
        <f>INDEX(Disney,INDEX(indices,(2-1)*5+5,31))</f>
        <v>Mickey Mouse Club March</v>
      </c>
    </row>
    <row r="4" spans="1:5" ht="93" customHeight="1" x14ac:dyDescent="0.25">
      <c r="A4" s="3" t="str">
        <f>INDEX(Disney,INDEX(indices,(3-1)*5+1,31))</f>
        <v>Soarin'</v>
      </c>
      <c r="B4" s="3" t="str">
        <f>INDEX(Disney,INDEX(indices,(3-1)*5+2,31))</f>
        <v>He Mele No Lilo</v>
      </c>
      <c r="C4" s="3" t="str">
        <f>INDEX(Disney,INDEX(indices,(3-1)*5+3,31))</f>
        <v>Just Around the Riverbend</v>
      </c>
      <c r="D4" s="3" t="str">
        <f>INDEX(Disney,INDEX(indices,(3-1)*5+4,31))</f>
        <v>You'll Be In My Heart</v>
      </c>
      <c r="E4" s="3" t="str">
        <f>INDEX(Disney,INDEX(indices,(3-1)*5+5,31))</f>
        <v>Steamboat Willie</v>
      </c>
    </row>
    <row r="5" spans="1:5" ht="93" customHeight="1" x14ac:dyDescent="0.25">
      <c r="A5" s="3" t="str">
        <f>INDEX(Disney,INDEX(indices,(4-1)*5+1,31))</f>
        <v>The Incredits</v>
      </c>
      <c r="B5" s="3" t="str">
        <f>INDEX(Disney,INDEX(indices,(4-1)*5+2,31))</f>
        <v>The Bare Necessities</v>
      </c>
      <c r="C5" s="3" t="str">
        <f>INDEX(Disney,INDEX(indices,(4-1)*5+3,31))</f>
        <v>When You Wish Upon a Star</v>
      </c>
      <c r="D5" s="3" t="str">
        <f>INDEX(Disney,INDEX(indices,(4-1)*5+4,31))</f>
        <v>It's All Right</v>
      </c>
      <c r="E5" s="3" t="str">
        <f>INDEX(Disney,INDEX(indices,(4-1)*5+5,31))</f>
        <v>Love</v>
      </c>
    </row>
    <row r="6" spans="1:5" ht="93" customHeight="1" x14ac:dyDescent="0.25">
      <c r="A6" s="3" t="str">
        <f>INDEX(Disney,INDEX(indices,(5-1)*5+1,31))</f>
        <v>Dig a Little Deeper</v>
      </c>
      <c r="B6" s="3" t="str">
        <f>INDEX(Disney,INDEX(indices,(5-1)*5+2,31))</f>
        <v>What's My Name</v>
      </c>
      <c r="C6" s="3" t="str">
        <f>INDEX(Disney,INDEX(indices,(5-1)*5+3,31))</f>
        <v>Wall-E</v>
      </c>
      <c r="D6" s="3" t="str">
        <f>INDEX(Disney,INDEX(indices,(5-1)*5+4,31))</f>
        <v>Zero</v>
      </c>
      <c r="E6" s="3" t="str">
        <f>INDEX(Disney,INDEX(indices,(5-1)*5+5,31))</f>
        <v>It's a Small World</v>
      </c>
    </row>
    <row r="7" spans="1:5" ht="93" customHeight="1" x14ac:dyDescent="0.25">
      <c r="A7" s="39"/>
      <c r="B7" s="39" t="s">
        <v>205</v>
      </c>
      <c r="C7" s="39" t="s">
        <v>294</v>
      </c>
      <c r="D7" s="39" t="s">
        <v>295</v>
      </c>
      <c r="E7" s="39"/>
    </row>
    <row r="8" spans="1:5" ht="93" customHeight="1" x14ac:dyDescent="0.25">
      <c r="A8" s="43" t="s">
        <v>230</v>
      </c>
      <c r="B8" s="43"/>
      <c r="C8" s="43"/>
      <c r="D8" s="43"/>
      <c r="E8" s="43"/>
    </row>
    <row r="9" spans="1:5" ht="93" customHeight="1" x14ac:dyDescent="0.25">
      <c r="A9" s="3" t="str">
        <f>INDEX(Disney,INDEX(indices,(1-1)*5+1,32))</f>
        <v>Winnie the Pooh</v>
      </c>
      <c r="B9" s="3" t="str">
        <f>INDEX(Disney,INDEX(indices,(1-1)*5+2,32))</f>
        <v>Heigh-Ho</v>
      </c>
      <c r="C9" s="3" t="str">
        <f>INDEX(Disney,INDEX(indices,(1-1)*5+3,32))</f>
        <v>Love</v>
      </c>
      <c r="D9" s="3" t="str">
        <f>INDEX(Disney,INDEX(indices,(1-1)*5+4,32))</f>
        <v>Why Should I Worry</v>
      </c>
      <c r="E9" s="3" t="str">
        <f>INDEX(Disney,INDEX(indices,(1-1)*5+5,32))</f>
        <v>If I Didn't Have You</v>
      </c>
    </row>
    <row r="10" spans="1:5" ht="93" customHeight="1" x14ac:dyDescent="0.25">
      <c r="A10" s="3" t="str">
        <f>INDEX(Disney,INDEX(indices,(2-1)*5+1,32))</f>
        <v>Back In the Saddle</v>
      </c>
      <c r="B10" s="3" t="str">
        <f>INDEX(Disney,INDEX(indices,(2-1)*5+2,32))</f>
        <v>He Mele No Lilo</v>
      </c>
      <c r="C10" s="3" t="str">
        <f>INDEX(Disney,INDEX(indices,(2-1)*5+3,32))</f>
        <v>A Whole New World</v>
      </c>
      <c r="D10" s="3" t="str">
        <f>INDEX(Disney,INDEX(indices,(2-1)*5+4,32))</f>
        <v>Bibbidi-Bobbidi-Boo</v>
      </c>
      <c r="E10" s="3" t="str">
        <f>INDEX(Disney,INDEX(indices,(2-1)*5+5,32))</f>
        <v>The Incredits</v>
      </c>
    </row>
    <row r="11" spans="1:5" ht="93" customHeight="1" x14ac:dyDescent="0.25">
      <c r="A11" s="3" t="str">
        <f>INDEX(Disney,INDEX(indices,(3-1)*5+1,32))</f>
        <v>One Little Spark</v>
      </c>
      <c r="B11" s="3" t="str">
        <f>INDEX(Disney,INDEX(indices,(3-1)*5+2,32))</f>
        <v>You've Got a Friend in Me</v>
      </c>
      <c r="C11" s="3" t="str">
        <f>INDEX(Disney,INDEX(indices,(3-1)*5+3,32))</f>
        <v>You'll Be In My Heart</v>
      </c>
      <c r="D11" s="3" t="str">
        <f>INDEX(Disney,INDEX(indices,(3-1)*5+4,32))</f>
        <v>Zero To Hero</v>
      </c>
      <c r="E11" s="3" t="str">
        <f>INDEX(Disney,INDEX(indices,(3-1)*5+5,32))</f>
        <v>Zero</v>
      </c>
    </row>
    <row r="12" spans="1:5" ht="93" customHeight="1" x14ac:dyDescent="0.25">
      <c r="A12" s="3" t="str">
        <f>INDEX(Disney,INDEX(indices,(4-1)*5+1,32))</f>
        <v>When You Wish Upon a Star</v>
      </c>
      <c r="B12" s="3" t="str">
        <f>INDEX(Disney,INDEX(indices,(4-1)*5+2,32))</f>
        <v>Baby Mine</v>
      </c>
      <c r="C12" s="3" t="str">
        <f>INDEX(Disney,INDEX(indices,(4-1)*5+3,32))</f>
        <v>The Tiki, Tiki, Tiki Room</v>
      </c>
      <c r="D12" s="3" t="str">
        <f>INDEX(Disney,INDEX(indices,(4-1)*5+4,32))</f>
        <v>Let It Go</v>
      </c>
      <c r="E12" s="3" t="str">
        <f>INDEX(Disney,INDEX(indices,(4-1)*5+5,32))</f>
        <v>All Aboard</v>
      </c>
    </row>
    <row r="13" spans="1:5" ht="93" customHeight="1" x14ac:dyDescent="0.25">
      <c r="A13" s="3" t="str">
        <f>INDEX(Disney,INDEX(indices,(5-1)*5+1,32))</f>
        <v>Just Around the Riverbend</v>
      </c>
      <c r="B13" s="3" t="str">
        <f>INDEX(Disney,INDEX(indices,(5-1)*5+2,32))</f>
        <v>I See the Light</v>
      </c>
      <c r="C13" s="3" t="str">
        <f>INDEX(Disney,INDEX(indices,(5-1)*5+3,32))</f>
        <v>Be Our Guest</v>
      </c>
      <c r="D13" s="3" t="str">
        <f>INDEX(Disney,INDEX(indices,(5-1)*5+4,32))</f>
        <v>We're All In This Together</v>
      </c>
      <c r="E13" s="3" t="str">
        <f>INDEX(Disney,INDEX(indices,(5-1)*5+5,32))</f>
        <v>Mickey Mouse Club March</v>
      </c>
    </row>
    <row r="14" spans="1:5" ht="93" customHeight="1" x14ac:dyDescent="0.25">
      <c r="A14" s="39"/>
      <c r="B14" s="39" t="s">
        <v>205</v>
      </c>
      <c r="C14" s="39" t="s">
        <v>296</v>
      </c>
      <c r="D14" s="39" t="s">
        <v>295</v>
      </c>
      <c r="E14" s="39"/>
    </row>
  </sheetData>
  <mergeCells count="2">
    <mergeCell ref="A1:E1"/>
    <mergeCell ref="A8:E8"/>
  </mergeCells>
  <conditionalFormatting sqref="A2:E6">
    <cfRule type="expression" dxfId="19" priority="2" stopIfTrue="1">
      <formula>LOWER(INDEX(Disney_Played,MATCH(A2,Disney,0)))="x"</formula>
    </cfRule>
  </conditionalFormatting>
  <conditionalFormatting sqref="A9:E13">
    <cfRule type="expression" dxfId="18" priority="1" stopIfTrue="1">
      <formula>LOWER(INDEX(Disney_Played,MATCH(A9,Disney,0)))="x"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5CC4E-AA0C-4B23-8FB3-C3F3BB6C912A}">
  <sheetPr codeName="Sheet20"/>
  <dimension ref="A1:E14"/>
  <sheetViews>
    <sheetView workbookViewId="0">
      <selection activeCell="A9" sqref="A9:E13"/>
    </sheetView>
  </sheetViews>
  <sheetFormatPr defaultColWidth="17.7109375" defaultRowHeight="93" customHeight="1" x14ac:dyDescent="0.25"/>
  <sheetData>
    <row r="1" spans="1:5" ht="93" customHeight="1" x14ac:dyDescent="0.25">
      <c r="A1" s="43" t="s">
        <v>230</v>
      </c>
      <c r="B1" s="43"/>
      <c r="C1" s="43"/>
      <c r="D1" s="43"/>
      <c r="E1" s="43"/>
    </row>
    <row r="2" spans="1:5" ht="93" customHeight="1" x14ac:dyDescent="0.25">
      <c r="A2" s="3" t="str">
        <f>INDEX(Disney,INDEX(indices,(1-1)*5+1,33))</f>
        <v>Remember Me</v>
      </c>
      <c r="B2" s="3" t="str">
        <f>INDEX(Disney,INDEX(indices,(1-1)*5+2,33))</f>
        <v>Swissapolka</v>
      </c>
      <c r="C2" s="3" t="str">
        <f>INDEX(Disney,INDEX(indices,(1-1)*5+3,33))</f>
        <v>Just Around the Riverbend</v>
      </c>
      <c r="D2" s="3" t="str">
        <f>INDEX(Disney,INDEX(indices,(1-1)*5+4,33))</f>
        <v>All Aboard</v>
      </c>
      <c r="E2" s="3" t="str">
        <f>INDEX(Disney,INDEX(indices,(1-1)*5+5,33))</f>
        <v>The Twilight Zone Tower of Terror</v>
      </c>
    </row>
    <row r="3" spans="1:5" ht="93" customHeight="1" x14ac:dyDescent="0.25">
      <c r="A3" s="3" t="str">
        <f>INDEX(Disney,INDEX(indices,(2-1)*5+1,33))</f>
        <v>Just Like Fire</v>
      </c>
      <c r="B3" s="3" t="str">
        <f>INDEX(Disney,INDEX(indices,(2-1)*5+2,33))</f>
        <v>Bibbidi-Bobbidi-Boo</v>
      </c>
      <c r="C3" s="3" t="str">
        <f>INDEX(Disney,INDEX(indices,(2-1)*5+3,33))</f>
        <v>Hakuna Matata</v>
      </c>
      <c r="D3" s="3" t="str">
        <f>INDEX(Disney,INDEX(indices,(2-1)*5+4,33))</f>
        <v>Try Everything</v>
      </c>
      <c r="E3" s="3" t="str">
        <f>INDEX(Disney,INDEX(indices,(2-1)*5+5,33))</f>
        <v>Step In Time</v>
      </c>
    </row>
    <row r="4" spans="1:5" ht="93" customHeight="1" x14ac:dyDescent="0.25">
      <c r="A4" s="3" t="str">
        <f>INDEX(Disney,INDEX(indices,(3-1)*5+1,33))</f>
        <v>One Little Spark</v>
      </c>
      <c r="B4" s="3" t="str">
        <f>INDEX(Disney,INDEX(indices,(3-1)*5+2,33))</f>
        <v>Winnie the Pooh</v>
      </c>
      <c r="C4" s="3" t="str">
        <f>INDEX(Disney,INDEX(indices,(3-1)*5+3,33))</f>
        <v>DuckTales</v>
      </c>
      <c r="D4" s="3" t="str">
        <f>INDEX(Disney,INDEX(indices,(3-1)*5+4,33))</f>
        <v>It's a Small World</v>
      </c>
      <c r="E4" s="3" t="str">
        <f>INDEX(Disney,INDEX(indices,(3-1)*5+5,33))</f>
        <v>Zero</v>
      </c>
    </row>
    <row r="5" spans="1:5" ht="93" customHeight="1" x14ac:dyDescent="0.25">
      <c r="A5" s="3" t="str">
        <f>INDEX(Disney,INDEX(indices,(4-1)*5+1,33))</f>
        <v>Summer Belongs to You</v>
      </c>
      <c r="B5" s="3" t="str">
        <f>INDEX(Disney,INDEX(indices,(4-1)*5+2,33))</f>
        <v>Back In the Saddle</v>
      </c>
      <c r="C5" s="3" t="str">
        <f>INDEX(Disney,INDEX(indices,(4-1)*5+3,33))</f>
        <v>A Whole New World</v>
      </c>
      <c r="D5" s="3" t="str">
        <f>INDEX(Disney,INDEX(indices,(4-1)*5+4,33))</f>
        <v>Touch the Sky</v>
      </c>
      <c r="E5" s="3" t="str">
        <f>INDEX(Disney,INDEX(indices,(4-1)*5+5,33))</f>
        <v>Heigh-Ho</v>
      </c>
    </row>
    <row r="6" spans="1:5" ht="93" customHeight="1" x14ac:dyDescent="0.25">
      <c r="A6" s="3" t="str">
        <f>INDEX(Disney,INDEX(indices,(5-1)*5+1,33))</f>
        <v>He Mele No Lilo</v>
      </c>
      <c r="B6" s="3" t="str">
        <f>INDEX(Disney,INDEX(indices,(5-1)*5+2,33))</f>
        <v>Just Keep Swimming</v>
      </c>
      <c r="C6" s="3" t="str">
        <f>INDEX(Disney,INDEX(indices,(5-1)*5+3,33))</f>
        <v>Iron Man</v>
      </c>
      <c r="D6" s="3" t="str">
        <f>INDEX(Disney,INDEX(indices,(5-1)*5+4,33))</f>
        <v>After Today</v>
      </c>
      <c r="E6" s="3" t="str">
        <f>INDEX(Disney,INDEX(indices,(5-1)*5+5,33))</f>
        <v>A Pirate's Life</v>
      </c>
    </row>
    <row r="7" spans="1:5" ht="93" customHeight="1" x14ac:dyDescent="0.25">
      <c r="A7" s="39"/>
      <c r="B7" s="39" t="s">
        <v>206</v>
      </c>
      <c r="C7" s="39" t="s">
        <v>294</v>
      </c>
      <c r="D7" s="39" t="s">
        <v>295</v>
      </c>
      <c r="E7" s="39"/>
    </row>
    <row r="8" spans="1:5" ht="93" customHeight="1" x14ac:dyDescent="0.25">
      <c r="A8" s="43" t="s">
        <v>230</v>
      </c>
      <c r="B8" s="43"/>
      <c r="C8" s="43"/>
      <c r="D8" s="43"/>
      <c r="E8" s="43"/>
    </row>
    <row r="9" spans="1:5" ht="93" customHeight="1" x14ac:dyDescent="0.25">
      <c r="A9" s="3" t="str">
        <f>INDEX(Disney,INDEX(indices,(1-1)*5+1,34))</f>
        <v>You'll Be Back</v>
      </c>
      <c r="B9" s="3" t="str">
        <f>INDEX(Disney,INDEX(indices,(1-1)*5+2,34))</f>
        <v>Let It Go</v>
      </c>
      <c r="C9" s="3" t="str">
        <f>INDEX(Disney,INDEX(indices,(1-1)*5+3,34))</f>
        <v>Under the Sea</v>
      </c>
      <c r="D9" s="3" t="str">
        <f>INDEX(Disney,INDEX(indices,(1-1)*5+4,34))</f>
        <v>One Little Spark</v>
      </c>
      <c r="E9" s="3" t="str">
        <f>INDEX(Disney,INDEX(indices,(1-1)*5+5,34))</f>
        <v>Zero To Hero</v>
      </c>
    </row>
    <row r="10" spans="1:5" ht="93" customHeight="1" x14ac:dyDescent="0.25">
      <c r="A10" s="3" t="str">
        <f>INDEX(Disney,INDEX(indices,(2-1)*5+1,34))</f>
        <v>Iron Man</v>
      </c>
      <c r="B10" s="3" t="str">
        <f>INDEX(Disney,INDEX(indices,(2-1)*5+2,34))</f>
        <v>DuckTales</v>
      </c>
      <c r="C10" s="3" t="str">
        <f>INDEX(Disney,INDEX(indices,(2-1)*5+3,34))</f>
        <v>You've Got a Friend in Me</v>
      </c>
      <c r="D10" s="3" t="str">
        <f>INDEX(Disney,INDEX(indices,(2-1)*5+4,34))</f>
        <v>Try Everything</v>
      </c>
      <c r="E10" s="3" t="str">
        <f>INDEX(Disney,INDEX(indices,(2-1)*5+5,34))</f>
        <v>Fantasmic!</v>
      </c>
    </row>
    <row r="11" spans="1:5" ht="93" customHeight="1" x14ac:dyDescent="0.25">
      <c r="A11" s="3" t="str">
        <f>INDEX(Disney,INDEX(indices,(3-1)*5+1,34))</f>
        <v>The Bare Necessities</v>
      </c>
      <c r="B11" s="3" t="str">
        <f>INDEX(Disney,INDEX(indices,(3-1)*5+2,34))</f>
        <v>Just Like Fire</v>
      </c>
      <c r="C11" s="3" t="str">
        <f>INDEX(Disney,INDEX(indices,(3-1)*5+3,34))</f>
        <v>Once Upon a Dream</v>
      </c>
      <c r="D11" s="3" t="str">
        <f>INDEX(Disney,INDEX(indices,(3-1)*5+4,34))</f>
        <v>Just Keep Swimming</v>
      </c>
      <c r="E11" s="3" t="str">
        <f>INDEX(Disney,INDEX(indices,(3-1)*5+5,34))</f>
        <v>That's the Life</v>
      </c>
    </row>
    <row r="12" spans="1:5" ht="93" customHeight="1" x14ac:dyDescent="0.25">
      <c r="A12" s="3" t="str">
        <f>INDEX(Disney,INDEX(indices,(4-1)*5+1,34))</f>
        <v>Be Our Guest</v>
      </c>
      <c r="B12" s="3" t="str">
        <f>INDEX(Disney,INDEX(indices,(4-1)*5+2,34))</f>
        <v>Soarin'</v>
      </c>
      <c r="C12" s="3" t="str">
        <f>INDEX(Disney,INDEX(indices,(4-1)*5+3,34))</f>
        <v>I See the Light</v>
      </c>
      <c r="D12" s="3" t="str">
        <f>INDEX(Disney,INDEX(indices,(4-1)*5+4,34))</f>
        <v>Hakuna Matata</v>
      </c>
      <c r="E12" s="3" t="str">
        <f>INDEX(Disney,INDEX(indices,(4-1)*5+5,34))</f>
        <v>Wall-E</v>
      </c>
    </row>
    <row r="13" spans="1:5" ht="93" customHeight="1" x14ac:dyDescent="0.25">
      <c r="A13" s="3" t="str">
        <f>INDEX(Disney,INDEX(indices,(5-1)*5+1,34))</f>
        <v>I See You</v>
      </c>
      <c r="B13" s="3" t="str">
        <f>INDEX(Disney,INDEX(indices,(5-1)*5+2,34))</f>
        <v>A Whole New World</v>
      </c>
      <c r="C13" s="3" t="str">
        <f>INDEX(Disney,INDEX(indices,(5-1)*5+3,34))</f>
        <v>Summer Belongs to You</v>
      </c>
      <c r="D13" s="3" t="str">
        <f>INDEX(Disney,INDEX(indices,(5-1)*5+4,34))</f>
        <v>The Tiki, Tiki, Tiki Room</v>
      </c>
      <c r="E13" s="3" t="str">
        <f>INDEX(Disney,INDEX(indices,(5-1)*5+5,34))</f>
        <v>If I Didn't Have You</v>
      </c>
    </row>
    <row r="14" spans="1:5" ht="93" customHeight="1" x14ac:dyDescent="0.25">
      <c r="A14" s="39"/>
      <c r="B14" s="39" t="s">
        <v>206</v>
      </c>
      <c r="C14" s="39" t="s">
        <v>296</v>
      </c>
      <c r="D14" s="39" t="s">
        <v>295</v>
      </c>
      <c r="E14" s="39"/>
    </row>
  </sheetData>
  <mergeCells count="2">
    <mergeCell ref="A1:E1"/>
    <mergeCell ref="A8:E8"/>
  </mergeCells>
  <conditionalFormatting sqref="A2:E6">
    <cfRule type="expression" dxfId="17" priority="2" stopIfTrue="1">
      <formula>LOWER(INDEX(Disney_Played,MATCH(A2,Disney,0)))="x"</formula>
    </cfRule>
  </conditionalFormatting>
  <conditionalFormatting sqref="A9:E13">
    <cfRule type="expression" dxfId="16" priority="1" stopIfTrue="1">
      <formula>LOWER(INDEX(Disney_Played,MATCH(A9,Disney,0)))="x"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BF3AC-CEA6-46E9-A341-9356D786EF10}">
  <sheetPr codeName="Sheet21"/>
  <dimension ref="A1:E14"/>
  <sheetViews>
    <sheetView workbookViewId="0">
      <selection activeCell="A9" sqref="A9:E13"/>
    </sheetView>
  </sheetViews>
  <sheetFormatPr defaultColWidth="17.7109375" defaultRowHeight="93" customHeight="1" x14ac:dyDescent="0.25"/>
  <sheetData>
    <row r="1" spans="1:5" ht="93" customHeight="1" x14ac:dyDescent="0.25">
      <c r="A1" s="43" t="s">
        <v>230</v>
      </c>
      <c r="B1" s="43"/>
      <c r="C1" s="43"/>
      <c r="D1" s="43"/>
      <c r="E1" s="43"/>
    </row>
    <row r="2" spans="1:5" ht="93" customHeight="1" x14ac:dyDescent="0.25">
      <c r="A2" s="3" t="str">
        <f>INDEX(Disney,INDEX(indices,(1-1)*5+1,35))</f>
        <v>Dig a Little Deeper</v>
      </c>
      <c r="B2" s="3" t="str">
        <f>INDEX(Disney,INDEX(indices,(1-1)*5+2,35))</f>
        <v>A Pirate's Life</v>
      </c>
      <c r="C2" s="3" t="str">
        <f>INDEX(Disney,INDEX(indices,(1-1)*5+3,35))</f>
        <v>Iron Man</v>
      </c>
      <c r="D2" s="3" t="str">
        <f>INDEX(Disney,INDEX(indices,(1-1)*5+4,35))</f>
        <v>Under the Sea</v>
      </c>
      <c r="E2" s="3" t="str">
        <f>INDEX(Disney,INDEX(indices,(1-1)*5+5,35))</f>
        <v>The Tiki, Tiki, Tiki Room</v>
      </c>
    </row>
    <row r="3" spans="1:5" ht="93" customHeight="1" x14ac:dyDescent="0.25">
      <c r="A3" s="3" t="str">
        <f>INDEX(Disney,INDEX(indices,(2-1)*5+1,35))</f>
        <v>Zero</v>
      </c>
      <c r="B3" s="3" t="str">
        <f>INDEX(Disney,INDEX(indices,(2-1)*5+2,35))</f>
        <v>I See the Light</v>
      </c>
      <c r="C3" s="3" t="str">
        <f>INDEX(Disney,INDEX(indices,(2-1)*5+3,35))</f>
        <v>I See You</v>
      </c>
      <c r="D3" s="3" t="str">
        <f>INDEX(Disney,INDEX(indices,(2-1)*5+4,35))</f>
        <v>Once Upon a Dream</v>
      </c>
      <c r="E3" s="3" t="str">
        <f>INDEX(Disney,INDEX(indices,(2-1)*5+5,35))</f>
        <v>When You Wish Upon a Star</v>
      </c>
    </row>
    <row r="4" spans="1:5" ht="93" customHeight="1" x14ac:dyDescent="0.25">
      <c r="A4" s="3" t="str">
        <f>INDEX(Disney,INDEX(indices,(3-1)*5+1,35))</f>
        <v>Heigh-Ho</v>
      </c>
      <c r="B4" s="3" t="str">
        <f>INDEX(Disney,INDEX(indices,(3-1)*5+2,35))</f>
        <v>The Twilight Zone Tower of Terror</v>
      </c>
      <c r="C4" s="3" t="str">
        <f>INDEX(Disney,INDEX(indices,(3-1)*5+3,35))</f>
        <v>A Whole New World</v>
      </c>
      <c r="D4" s="3" t="str">
        <f>INDEX(Disney,INDEX(indices,(3-1)*5+4,35))</f>
        <v>Zero To Hero</v>
      </c>
      <c r="E4" s="3" t="str">
        <f>INDEX(Disney,INDEX(indices,(3-1)*5+5,35))</f>
        <v>Life Is a Highway</v>
      </c>
    </row>
    <row r="5" spans="1:5" ht="93" customHeight="1" x14ac:dyDescent="0.25">
      <c r="A5" s="3" t="str">
        <f>INDEX(Disney,INDEX(indices,(4-1)*5+1,35))</f>
        <v>Baby Mine</v>
      </c>
      <c r="B5" s="3" t="str">
        <f>INDEX(Disney,INDEX(indices,(4-1)*5+2,35))</f>
        <v>The Incredits</v>
      </c>
      <c r="C5" s="3" t="str">
        <f>INDEX(Disney,INDEX(indices,(4-1)*5+3,35))</f>
        <v>After Today</v>
      </c>
      <c r="D5" s="3" t="str">
        <f>INDEX(Disney,INDEX(indices,(4-1)*5+4,35))</f>
        <v>Steamboat Willie</v>
      </c>
      <c r="E5" s="3" t="str">
        <f>INDEX(Disney,INDEX(indices,(4-1)*5+5,35))</f>
        <v>That's the Life</v>
      </c>
    </row>
    <row r="6" spans="1:5" ht="93" customHeight="1" x14ac:dyDescent="0.25">
      <c r="A6" s="3" t="str">
        <f>INDEX(Disney,INDEX(indices,(5-1)*5+1,35))</f>
        <v>Fantasmic!</v>
      </c>
      <c r="B6" s="3" t="str">
        <f>INDEX(Disney,INDEX(indices,(5-1)*5+2,35))</f>
        <v>You'll Be In My Heart</v>
      </c>
      <c r="C6" s="3" t="str">
        <f>INDEX(Disney,INDEX(indices,(5-1)*5+3,35))</f>
        <v>Cantina Band</v>
      </c>
      <c r="D6" s="3" t="str">
        <f>INDEX(Disney,INDEX(indices,(5-1)*5+4,35))</f>
        <v>He Mele No Lilo</v>
      </c>
      <c r="E6" s="3" t="str">
        <f>INDEX(Disney,INDEX(indices,(5-1)*5+5,35))</f>
        <v>You'll Be Back</v>
      </c>
    </row>
    <row r="7" spans="1:5" ht="93" customHeight="1" x14ac:dyDescent="0.25">
      <c r="A7" s="39"/>
      <c r="B7" s="39" t="s">
        <v>207</v>
      </c>
      <c r="C7" s="39" t="s">
        <v>294</v>
      </c>
      <c r="D7" s="39" t="s">
        <v>295</v>
      </c>
      <c r="E7" s="39"/>
    </row>
    <row r="8" spans="1:5" ht="93" customHeight="1" x14ac:dyDescent="0.25">
      <c r="A8" s="43" t="s">
        <v>230</v>
      </c>
      <c r="B8" s="43"/>
      <c r="C8" s="43"/>
      <c r="D8" s="43"/>
      <c r="E8" s="43"/>
    </row>
    <row r="9" spans="1:5" ht="93" customHeight="1" x14ac:dyDescent="0.25">
      <c r="A9" s="3" t="str">
        <f>INDEX(Disney,INDEX(indices,(1-1)*5+1,36))</f>
        <v>Back In the Saddle</v>
      </c>
      <c r="B9" s="3" t="str">
        <f>INDEX(Disney,INDEX(indices,(1-1)*5+2,36))</f>
        <v>Fantasmic!</v>
      </c>
      <c r="C9" s="3" t="str">
        <f>INDEX(Disney,INDEX(indices,(1-1)*5+3,36))</f>
        <v>I See You</v>
      </c>
      <c r="D9" s="3" t="str">
        <f>INDEX(Disney,INDEX(indices,(1-1)*5+4,36))</f>
        <v>Baby Mine</v>
      </c>
      <c r="E9" s="3" t="str">
        <f>INDEX(Disney,INDEX(indices,(1-1)*5+5,36))</f>
        <v>Wall-E</v>
      </c>
    </row>
    <row r="10" spans="1:5" ht="93" customHeight="1" x14ac:dyDescent="0.25">
      <c r="A10" s="3" t="str">
        <f>INDEX(Disney,INDEX(indices,(2-1)*5+1,36))</f>
        <v>Why Should I Worry</v>
      </c>
      <c r="B10" s="3" t="str">
        <f>INDEX(Disney,INDEX(indices,(2-1)*5+2,36))</f>
        <v>Friend Like Me</v>
      </c>
      <c r="C10" s="3" t="str">
        <f>INDEX(Disney,INDEX(indices,(2-1)*5+3,36))</f>
        <v>Heigh-Ho</v>
      </c>
      <c r="D10" s="3" t="str">
        <f>INDEX(Disney,INDEX(indices,(2-1)*5+4,36))</f>
        <v>Swissapolka</v>
      </c>
      <c r="E10" s="3" t="str">
        <f>INDEX(Disney,INDEX(indices,(2-1)*5+5,36))</f>
        <v>I See the Light</v>
      </c>
    </row>
    <row r="11" spans="1:5" ht="93" customHeight="1" x14ac:dyDescent="0.25">
      <c r="A11" s="3" t="str">
        <f>INDEX(Disney,INDEX(indices,(3-1)*5+1,36))</f>
        <v>It's a Small World</v>
      </c>
      <c r="B11" s="3" t="str">
        <f>INDEX(Disney,INDEX(indices,(3-1)*5+2,36))</f>
        <v>The Imperial March</v>
      </c>
      <c r="C11" s="3" t="str">
        <f>INDEX(Disney,INDEX(indices,(3-1)*5+3,36))</f>
        <v>Under the Sea</v>
      </c>
      <c r="D11" s="3" t="str">
        <f>INDEX(Disney,INDEX(indices,(3-1)*5+4,36))</f>
        <v>A Guy Like You</v>
      </c>
      <c r="E11" s="3" t="str">
        <f>INDEX(Disney,INDEX(indices,(3-1)*5+5,36))</f>
        <v>Dig a Little Deeper</v>
      </c>
    </row>
    <row r="12" spans="1:5" ht="93" customHeight="1" x14ac:dyDescent="0.25">
      <c r="A12" s="3" t="str">
        <f>INDEX(Disney,INDEX(indices,(4-1)*5+1,36))</f>
        <v>When You Wish Upon a Star</v>
      </c>
      <c r="B12" s="3" t="str">
        <f>INDEX(Disney,INDEX(indices,(4-1)*5+2,36))</f>
        <v>Remember Me</v>
      </c>
      <c r="C12" s="3" t="str">
        <f>INDEX(Disney,INDEX(indices,(4-1)*5+3,36))</f>
        <v>You've Got a Friend in Me</v>
      </c>
      <c r="D12" s="3" t="str">
        <f>INDEX(Disney,INDEX(indices,(4-1)*5+4,36))</f>
        <v>After Today</v>
      </c>
      <c r="E12" s="3" t="str">
        <f>INDEX(Disney,INDEX(indices,(4-1)*5+5,36))</f>
        <v>Hakuna Matata</v>
      </c>
    </row>
    <row r="13" spans="1:5" ht="93" customHeight="1" x14ac:dyDescent="0.25">
      <c r="A13" s="3" t="str">
        <f>INDEX(Disney,INDEX(indices,(5-1)*5+1,36))</f>
        <v>He Mele No Lilo</v>
      </c>
      <c r="B13" s="3" t="str">
        <f>INDEX(Disney,INDEX(indices,(5-1)*5+2,36))</f>
        <v>Zero</v>
      </c>
      <c r="C13" s="3" t="str">
        <f>INDEX(Disney,INDEX(indices,(5-1)*5+3,36))</f>
        <v>You'll Be In My Heart</v>
      </c>
      <c r="D13" s="3" t="str">
        <f>INDEX(Disney,INDEX(indices,(5-1)*5+4,36))</f>
        <v>Just Like Fire</v>
      </c>
      <c r="E13" s="3" t="str">
        <f>INDEX(Disney,INDEX(indices,(5-1)*5+5,36))</f>
        <v>What's My Name</v>
      </c>
    </row>
    <row r="14" spans="1:5" ht="93" customHeight="1" x14ac:dyDescent="0.25">
      <c r="A14" s="39"/>
      <c r="B14" s="39" t="s">
        <v>207</v>
      </c>
      <c r="C14" s="39" t="s">
        <v>296</v>
      </c>
      <c r="D14" s="39" t="s">
        <v>295</v>
      </c>
      <c r="E14" s="39"/>
    </row>
  </sheetData>
  <mergeCells count="2">
    <mergeCell ref="A1:E1"/>
    <mergeCell ref="A8:E8"/>
  </mergeCells>
  <conditionalFormatting sqref="A2:E6">
    <cfRule type="expression" dxfId="15" priority="2" stopIfTrue="1">
      <formula>LOWER(INDEX(Disney_Played,MATCH(A2,Disney,0)))="x"</formula>
    </cfRule>
  </conditionalFormatting>
  <conditionalFormatting sqref="A9:E13">
    <cfRule type="expression" dxfId="14" priority="1" stopIfTrue="1">
      <formula>LOWER(INDEX(Disney_Played,MATCH(A9,Disney,0)))="x"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76AD3-3916-4DB0-B454-1CA7F866F153}">
  <sheetPr codeName="Sheet22"/>
  <dimension ref="A1:E14"/>
  <sheetViews>
    <sheetView workbookViewId="0">
      <selection activeCell="A9" sqref="A9:E13"/>
    </sheetView>
  </sheetViews>
  <sheetFormatPr defaultColWidth="17.7109375" defaultRowHeight="93" customHeight="1" x14ac:dyDescent="0.25"/>
  <sheetData>
    <row r="1" spans="1:5" ht="93" customHeight="1" x14ac:dyDescent="0.25">
      <c r="A1" s="43" t="s">
        <v>230</v>
      </c>
      <c r="B1" s="43"/>
      <c r="C1" s="43"/>
      <c r="D1" s="43"/>
      <c r="E1" s="43"/>
    </row>
    <row r="2" spans="1:5" ht="93" customHeight="1" x14ac:dyDescent="0.25">
      <c r="A2" s="3" t="str">
        <f>INDEX(Disney,INDEX(indices,(1-1)*5+1,37))</f>
        <v>We're All In This Together</v>
      </c>
      <c r="B2" s="3" t="str">
        <f>INDEX(Disney,INDEX(indices,(1-1)*5+2,37))</f>
        <v>All Aboard</v>
      </c>
      <c r="C2" s="3" t="str">
        <f>INDEX(Disney,INDEX(indices,(1-1)*5+3,37))</f>
        <v>How Far I'll Go</v>
      </c>
      <c r="D2" s="3" t="str">
        <f>INDEX(Disney,INDEX(indices,(1-1)*5+4,37))</f>
        <v>Just Keep Swimming</v>
      </c>
      <c r="E2" s="3" t="str">
        <f>INDEX(Disney,INDEX(indices,(1-1)*5+5,37))</f>
        <v>Baby Mine</v>
      </c>
    </row>
    <row r="3" spans="1:5" ht="93" customHeight="1" x14ac:dyDescent="0.25">
      <c r="A3" s="3" t="str">
        <f>INDEX(Disney,INDEX(indices,(2-1)*5+1,37))</f>
        <v>Hakuna Matata</v>
      </c>
      <c r="B3" s="3" t="str">
        <f>INDEX(Disney,INDEX(indices,(2-1)*5+2,37))</f>
        <v>I See the Light</v>
      </c>
      <c r="C3" s="3" t="str">
        <f>INDEX(Disney,INDEX(indices,(2-1)*5+3,37))</f>
        <v>Flitterin'</v>
      </c>
      <c r="D3" s="3" t="str">
        <f>INDEX(Disney,INDEX(indices,(2-1)*5+4,37))</f>
        <v>Life Is a Highway</v>
      </c>
      <c r="E3" s="3" t="str">
        <f>INDEX(Disney,INDEX(indices,(2-1)*5+5,37))</f>
        <v>One Little Spark</v>
      </c>
    </row>
    <row r="4" spans="1:5" ht="93" customHeight="1" x14ac:dyDescent="0.25">
      <c r="A4" s="3" t="str">
        <f>INDEX(Disney,INDEX(indices,(3-1)*5+1,37))</f>
        <v>Dig a Little Deeper</v>
      </c>
      <c r="B4" s="3" t="str">
        <f>INDEX(Disney,INDEX(indices,(3-1)*5+2,37))</f>
        <v>Why Should I Worry</v>
      </c>
      <c r="C4" s="3" t="str">
        <f>INDEX(Disney,INDEX(indices,(3-1)*5+3,37))</f>
        <v>It's All Right</v>
      </c>
      <c r="D4" s="3" t="str">
        <f>INDEX(Disney,INDEX(indices,(3-1)*5+4,37))</f>
        <v>Once Upon a Dream</v>
      </c>
      <c r="E4" s="3" t="str">
        <f>INDEX(Disney,INDEX(indices,(3-1)*5+5,37))</f>
        <v>Let It Go</v>
      </c>
    </row>
    <row r="5" spans="1:5" ht="93" customHeight="1" x14ac:dyDescent="0.25">
      <c r="A5" s="3" t="str">
        <f>INDEX(Disney,INDEX(indices,(4-1)*5+1,37))</f>
        <v>Back In the Saddle</v>
      </c>
      <c r="B5" s="3" t="str">
        <f>INDEX(Disney,INDEX(indices,(4-1)*5+2,37))</f>
        <v>You've Got a Friend in Me</v>
      </c>
      <c r="C5" s="3" t="str">
        <f>INDEX(Disney,INDEX(indices,(4-1)*5+3,37))</f>
        <v>Swissapolka</v>
      </c>
      <c r="D5" s="3" t="str">
        <f>INDEX(Disney,INDEX(indices,(4-1)*5+4,37))</f>
        <v>Heigh-Ho</v>
      </c>
      <c r="E5" s="3" t="str">
        <f>INDEX(Disney,INDEX(indices,(4-1)*5+5,37))</f>
        <v>He Mele No Lilo</v>
      </c>
    </row>
    <row r="6" spans="1:5" ht="93" customHeight="1" x14ac:dyDescent="0.25">
      <c r="A6" s="3" t="str">
        <f>INDEX(Disney,INDEX(indices,(5-1)*5+1,37))</f>
        <v>What's My Name</v>
      </c>
      <c r="B6" s="3" t="str">
        <f>INDEX(Disney,INDEX(indices,(5-1)*5+2,37))</f>
        <v>Friend Like Me</v>
      </c>
      <c r="C6" s="3" t="str">
        <f>INDEX(Disney,INDEX(indices,(5-1)*5+3,37))</f>
        <v>DuckTales</v>
      </c>
      <c r="D6" s="3" t="str">
        <f>INDEX(Disney,INDEX(indices,(5-1)*5+4,37))</f>
        <v>Touch the Sky</v>
      </c>
      <c r="E6" s="3" t="str">
        <f>INDEX(Disney,INDEX(indices,(5-1)*5+5,37))</f>
        <v>A Pirate's Life</v>
      </c>
    </row>
    <row r="7" spans="1:5" ht="93" customHeight="1" x14ac:dyDescent="0.25">
      <c r="A7" s="39"/>
      <c r="B7" s="39" t="s">
        <v>208</v>
      </c>
      <c r="C7" s="39" t="s">
        <v>294</v>
      </c>
      <c r="D7" s="39" t="s">
        <v>295</v>
      </c>
      <c r="E7" s="39"/>
    </row>
    <row r="8" spans="1:5" ht="93" customHeight="1" x14ac:dyDescent="0.25">
      <c r="A8" s="43" t="s">
        <v>230</v>
      </c>
      <c r="B8" s="43"/>
      <c r="C8" s="43"/>
      <c r="D8" s="43"/>
      <c r="E8" s="43"/>
    </row>
    <row r="9" spans="1:5" ht="93" customHeight="1" x14ac:dyDescent="0.25">
      <c r="A9" s="3" t="str">
        <f>INDEX(Disney,INDEX(indices,(1-1)*5+1,38))</f>
        <v>Baby Mine</v>
      </c>
      <c r="B9" s="3" t="str">
        <f>INDEX(Disney,INDEX(indices,(1-1)*5+2,38))</f>
        <v>Mickey Mouse Club March</v>
      </c>
      <c r="C9" s="3" t="str">
        <f>INDEX(Disney,INDEX(indices,(1-1)*5+3,38))</f>
        <v>A Whole New World</v>
      </c>
      <c r="D9" s="3" t="str">
        <f>INDEX(Disney,INDEX(indices,(1-1)*5+4,38))</f>
        <v>When You Wish Upon a Star</v>
      </c>
      <c r="E9" s="3" t="str">
        <f>INDEX(Disney,INDEX(indices,(1-1)*5+5,38))</f>
        <v>Just Like Fire</v>
      </c>
    </row>
    <row r="10" spans="1:5" ht="93" customHeight="1" x14ac:dyDescent="0.25">
      <c r="A10" s="3" t="str">
        <f>INDEX(Disney,INDEX(indices,(2-1)*5+1,38))</f>
        <v>A Pirate's Life</v>
      </c>
      <c r="B10" s="3" t="str">
        <f>INDEX(Disney,INDEX(indices,(2-1)*5+2,38))</f>
        <v>Heigh-Ho</v>
      </c>
      <c r="C10" s="3" t="str">
        <f>INDEX(Disney,INDEX(indices,(2-1)*5+3,38))</f>
        <v>A Guy Like You</v>
      </c>
      <c r="D10" s="3" t="str">
        <f>INDEX(Disney,INDEX(indices,(2-1)*5+4,38))</f>
        <v>Soarin'</v>
      </c>
      <c r="E10" s="3" t="str">
        <f>INDEX(Disney,INDEX(indices,(2-1)*5+5,38))</f>
        <v>You've Got a Friend in Me</v>
      </c>
    </row>
    <row r="11" spans="1:5" ht="93" customHeight="1" x14ac:dyDescent="0.25">
      <c r="A11" s="3" t="str">
        <f>INDEX(Disney,INDEX(indices,(3-1)*5+1,38))</f>
        <v>I See the Light</v>
      </c>
      <c r="B11" s="3" t="str">
        <f>INDEX(Disney,INDEX(indices,(3-1)*5+2,38))</f>
        <v>Fantasmic!</v>
      </c>
      <c r="C11" s="3" t="str">
        <f>INDEX(Disney,INDEX(indices,(3-1)*5+3,38))</f>
        <v>Just Keep Swimming</v>
      </c>
      <c r="D11" s="3" t="str">
        <f>INDEX(Disney,INDEX(indices,(3-1)*5+4,38))</f>
        <v>Back In the Saddle</v>
      </c>
      <c r="E11" s="3" t="str">
        <f>INDEX(Disney,INDEX(indices,(3-1)*5+5,38))</f>
        <v>Winnie the Pooh</v>
      </c>
    </row>
    <row r="12" spans="1:5" ht="93" customHeight="1" x14ac:dyDescent="0.25">
      <c r="A12" s="3" t="str">
        <f>INDEX(Disney,INDEX(indices,(4-1)*5+1,38))</f>
        <v>All Aboard</v>
      </c>
      <c r="B12" s="3" t="str">
        <f>INDEX(Disney,INDEX(indices,(4-1)*5+2,38))</f>
        <v>If I Didn't Have You</v>
      </c>
      <c r="C12" s="3" t="str">
        <f>INDEX(Disney,INDEX(indices,(4-1)*5+3,38))</f>
        <v>The Incredits</v>
      </c>
      <c r="D12" s="3" t="str">
        <f>INDEX(Disney,INDEX(indices,(4-1)*5+4,38))</f>
        <v>DuckTales</v>
      </c>
      <c r="E12" s="3" t="str">
        <f>INDEX(Disney,INDEX(indices,(4-1)*5+5,38))</f>
        <v>That's the Life</v>
      </c>
    </row>
    <row r="13" spans="1:5" ht="93" customHeight="1" x14ac:dyDescent="0.25">
      <c r="A13" s="3" t="str">
        <f>INDEX(Disney,INDEX(indices,(5-1)*5+1,38))</f>
        <v>Hakuna Matata</v>
      </c>
      <c r="B13" s="3" t="str">
        <f>INDEX(Disney,INDEX(indices,(5-1)*5+2,38))</f>
        <v>After Today</v>
      </c>
      <c r="C13" s="3" t="str">
        <f>INDEX(Disney,INDEX(indices,(5-1)*5+3,38))</f>
        <v>Remember Me</v>
      </c>
      <c r="D13" s="3" t="str">
        <f>INDEX(Disney,INDEX(indices,(5-1)*5+4,38))</f>
        <v>What's My Name</v>
      </c>
      <c r="E13" s="3" t="str">
        <f>INDEX(Disney,INDEX(indices,(5-1)*5+5,38))</f>
        <v>Friend Like Me</v>
      </c>
    </row>
    <row r="14" spans="1:5" ht="93" customHeight="1" x14ac:dyDescent="0.25">
      <c r="A14" s="39"/>
      <c r="B14" s="39" t="s">
        <v>208</v>
      </c>
      <c r="C14" s="39" t="s">
        <v>296</v>
      </c>
      <c r="D14" s="39" t="s">
        <v>295</v>
      </c>
      <c r="E14" s="39"/>
    </row>
  </sheetData>
  <mergeCells count="2">
    <mergeCell ref="A1:E1"/>
    <mergeCell ref="A8:E8"/>
  </mergeCells>
  <conditionalFormatting sqref="A2:E6">
    <cfRule type="expression" dxfId="13" priority="2" stopIfTrue="1">
      <formula>LOWER(INDEX(Disney_Played,MATCH(A2,Disney,0)))="x"</formula>
    </cfRule>
  </conditionalFormatting>
  <conditionalFormatting sqref="A9:E13">
    <cfRule type="expression" dxfId="12" priority="1" stopIfTrue="1">
      <formula>LOWER(INDEX(Disney_Played,MATCH(A9,Disney,0)))="x"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30F04D-16AF-4EC4-B3E6-A4931E47EC1F}">
  <sheetPr codeName="Sheet23"/>
  <dimension ref="A1:E14"/>
  <sheetViews>
    <sheetView workbookViewId="0">
      <selection activeCell="A9" sqref="A9:E13"/>
    </sheetView>
  </sheetViews>
  <sheetFormatPr defaultColWidth="17.7109375" defaultRowHeight="93" customHeight="1" x14ac:dyDescent="0.25"/>
  <sheetData>
    <row r="1" spans="1:5" ht="93" customHeight="1" x14ac:dyDescent="0.25">
      <c r="A1" s="43" t="s">
        <v>230</v>
      </c>
      <c r="B1" s="43"/>
      <c r="C1" s="43"/>
      <c r="D1" s="43"/>
      <c r="E1" s="43"/>
    </row>
    <row r="2" spans="1:5" ht="93" customHeight="1" x14ac:dyDescent="0.25">
      <c r="A2" s="3" t="str">
        <f>INDEX(Disney,INDEX(indices,(1-1)*5+1,39))</f>
        <v>Step In Time</v>
      </c>
      <c r="B2" s="3" t="str">
        <f>INDEX(Disney,INDEX(indices,(1-1)*5+2,39))</f>
        <v>Cantina Band</v>
      </c>
      <c r="C2" s="3" t="str">
        <f>INDEX(Disney,INDEX(indices,(1-1)*5+3,39))</f>
        <v>Life Is a Highway</v>
      </c>
      <c r="D2" s="3" t="str">
        <f>INDEX(Disney,INDEX(indices,(1-1)*5+4,39))</f>
        <v>What's My Name</v>
      </c>
      <c r="E2" s="3" t="str">
        <f>INDEX(Disney,INDEX(indices,(1-1)*5+5,39))</f>
        <v>You'll Be Back</v>
      </c>
    </row>
    <row r="3" spans="1:5" ht="93" customHeight="1" x14ac:dyDescent="0.25">
      <c r="A3" s="3" t="str">
        <f>INDEX(Disney,INDEX(indices,(2-1)*5+1,39))</f>
        <v>That's How You Know</v>
      </c>
      <c r="B3" s="3" t="str">
        <f>INDEX(Disney,INDEX(indices,(2-1)*5+2,39))</f>
        <v>Mickey Mouse Club March</v>
      </c>
      <c r="C3" s="3" t="str">
        <f>INDEX(Disney,INDEX(indices,(2-1)*5+3,39))</f>
        <v>Remember Me</v>
      </c>
      <c r="D3" s="3" t="str">
        <f>INDEX(Disney,INDEX(indices,(2-1)*5+4,39))</f>
        <v>I See You</v>
      </c>
      <c r="E3" s="3" t="str">
        <f>INDEX(Disney,INDEX(indices,(2-1)*5+5,39))</f>
        <v>Zero</v>
      </c>
    </row>
    <row r="4" spans="1:5" ht="93" customHeight="1" x14ac:dyDescent="0.25">
      <c r="A4" s="3" t="str">
        <f>INDEX(Disney,INDEX(indices,(3-1)*5+1,39))</f>
        <v>DuckTales</v>
      </c>
      <c r="B4" s="3" t="str">
        <f>INDEX(Disney,INDEX(indices,(3-1)*5+2,39))</f>
        <v>All Aboard</v>
      </c>
      <c r="C4" s="3" t="str">
        <f>INDEX(Disney,INDEX(indices,(3-1)*5+3,39))</f>
        <v>You'll Be In My Heart</v>
      </c>
      <c r="D4" s="3" t="str">
        <f>INDEX(Disney,INDEX(indices,(3-1)*5+4,39))</f>
        <v>Friend Like Me</v>
      </c>
      <c r="E4" s="3" t="str">
        <f>INDEX(Disney,INDEX(indices,(3-1)*5+5,39))</f>
        <v>Oggie Boogie's Song</v>
      </c>
    </row>
    <row r="5" spans="1:5" ht="93" customHeight="1" x14ac:dyDescent="0.25">
      <c r="A5" s="3" t="str">
        <f>INDEX(Disney,INDEX(indices,(4-1)*5+1,39))</f>
        <v>Dig a Little Deeper</v>
      </c>
      <c r="B5" s="3" t="str">
        <f>INDEX(Disney,INDEX(indices,(4-1)*5+2,39))</f>
        <v>One Little Spark</v>
      </c>
      <c r="C5" s="3" t="str">
        <f>INDEX(Disney,INDEX(indices,(4-1)*5+3,39))</f>
        <v>Why Should I Worry</v>
      </c>
      <c r="D5" s="3" t="str">
        <f>INDEX(Disney,INDEX(indices,(4-1)*5+4,39))</f>
        <v>Iron Man</v>
      </c>
      <c r="E5" s="3" t="str">
        <f>INDEX(Disney,INDEX(indices,(4-1)*5+5,39))</f>
        <v>Summer Belongs to You</v>
      </c>
    </row>
    <row r="6" spans="1:5" ht="93" customHeight="1" x14ac:dyDescent="0.25">
      <c r="A6" s="3" t="str">
        <f>INDEX(Disney,INDEX(indices,(5-1)*5+1,39))</f>
        <v>Just Like Fire</v>
      </c>
      <c r="B6" s="3" t="str">
        <f>INDEX(Disney,INDEX(indices,(5-1)*5+2,39))</f>
        <v>The Tiki, Tiki, Tiki Room</v>
      </c>
      <c r="C6" s="3" t="str">
        <f>INDEX(Disney,INDEX(indices,(5-1)*5+3,39))</f>
        <v>Love</v>
      </c>
      <c r="D6" s="3" t="str">
        <f>INDEX(Disney,INDEX(indices,(5-1)*5+4,39))</f>
        <v>After Today</v>
      </c>
      <c r="E6" s="3" t="str">
        <f>INDEX(Disney,INDEX(indices,(5-1)*5+5,39))</f>
        <v>Winnie the Pooh</v>
      </c>
    </row>
    <row r="7" spans="1:5" ht="93" customHeight="1" x14ac:dyDescent="0.25">
      <c r="A7" s="39"/>
      <c r="B7" s="39" t="s">
        <v>209</v>
      </c>
      <c r="C7" s="39" t="s">
        <v>294</v>
      </c>
      <c r="D7" s="39" t="s">
        <v>295</v>
      </c>
      <c r="E7" s="39"/>
    </row>
    <row r="8" spans="1:5" ht="93" customHeight="1" x14ac:dyDescent="0.25">
      <c r="A8" s="43" t="s">
        <v>230</v>
      </c>
      <c r="B8" s="43"/>
      <c r="C8" s="43"/>
      <c r="D8" s="43"/>
      <c r="E8" s="43"/>
    </row>
    <row r="9" spans="1:5" ht="93" customHeight="1" x14ac:dyDescent="0.25">
      <c r="A9" s="3" t="str">
        <f>INDEX(Disney,INDEX(indices,(1-1)*5+1,40))</f>
        <v>Summer Belongs to You</v>
      </c>
      <c r="B9" s="3" t="str">
        <f>INDEX(Disney,INDEX(indices,(1-1)*5+2,40))</f>
        <v>Under the Sea</v>
      </c>
      <c r="C9" s="3" t="str">
        <f>INDEX(Disney,INDEX(indices,(1-1)*5+3,40))</f>
        <v>It's a Small World</v>
      </c>
      <c r="D9" s="3" t="str">
        <f>INDEX(Disney,INDEX(indices,(1-1)*5+4,40))</f>
        <v>Friend Like Me</v>
      </c>
      <c r="E9" s="3" t="str">
        <f>INDEX(Disney,INDEX(indices,(1-1)*5+5,40))</f>
        <v>Try Everything</v>
      </c>
    </row>
    <row r="10" spans="1:5" ht="93" customHeight="1" x14ac:dyDescent="0.25">
      <c r="A10" s="3" t="str">
        <f>INDEX(Disney,INDEX(indices,(2-1)*5+1,40))</f>
        <v>Just Like Fire</v>
      </c>
      <c r="B10" s="3" t="str">
        <f>INDEX(Disney,INDEX(indices,(2-1)*5+2,40))</f>
        <v>Hakuna Matata</v>
      </c>
      <c r="C10" s="3" t="str">
        <f>INDEX(Disney,INDEX(indices,(2-1)*5+3,40))</f>
        <v>Soarin'</v>
      </c>
      <c r="D10" s="3" t="str">
        <f>INDEX(Disney,INDEX(indices,(2-1)*5+4,40))</f>
        <v>A Guy Like You</v>
      </c>
      <c r="E10" s="3" t="str">
        <f>INDEX(Disney,INDEX(indices,(2-1)*5+5,40))</f>
        <v>How Far I'll Go</v>
      </c>
    </row>
    <row r="11" spans="1:5" ht="93" customHeight="1" x14ac:dyDescent="0.25">
      <c r="A11" s="3" t="str">
        <f>INDEX(Disney,INDEX(indices,(3-1)*5+1,40))</f>
        <v>Once Upon a Dream</v>
      </c>
      <c r="B11" s="3" t="str">
        <f>INDEX(Disney,INDEX(indices,(3-1)*5+2,40))</f>
        <v>After Today</v>
      </c>
      <c r="C11" s="3" t="str">
        <f>INDEX(Disney,INDEX(indices,(3-1)*5+3,40))</f>
        <v>What's My Name</v>
      </c>
      <c r="D11" s="3" t="str">
        <f>INDEX(Disney,INDEX(indices,(3-1)*5+4,40))</f>
        <v>Fantasmic!</v>
      </c>
      <c r="E11" s="3" t="str">
        <f>INDEX(Disney,INDEX(indices,(3-1)*5+5,40))</f>
        <v>Steamboat Willie</v>
      </c>
    </row>
    <row r="12" spans="1:5" ht="93" customHeight="1" x14ac:dyDescent="0.25">
      <c r="A12" s="3" t="str">
        <f>INDEX(Disney,INDEX(indices,(4-1)*5+1,40))</f>
        <v>Baby Mine</v>
      </c>
      <c r="B12" s="3" t="str">
        <f>INDEX(Disney,INDEX(indices,(4-1)*5+2,40))</f>
        <v>The Tiki, Tiki, Tiki Room</v>
      </c>
      <c r="C12" s="3" t="str">
        <f>INDEX(Disney,INDEX(indices,(4-1)*5+3,40))</f>
        <v>Swissapolka</v>
      </c>
      <c r="D12" s="3" t="str">
        <f>INDEX(Disney,INDEX(indices,(4-1)*5+4,40))</f>
        <v>Why Should I Worry</v>
      </c>
      <c r="E12" s="3" t="str">
        <f>INDEX(Disney,INDEX(indices,(4-1)*5+5,40))</f>
        <v>He Mele No Lilo</v>
      </c>
    </row>
    <row r="13" spans="1:5" ht="93" customHeight="1" x14ac:dyDescent="0.25">
      <c r="A13" s="3" t="str">
        <f>INDEX(Disney,INDEX(indices,(5-1)*5+1,40))</f>
        <v>Zero</v>
      </c>
      <c r="B13" s="3" t="str">
        <f>INDEX(Disney,INDEX(indices,(5-1)*5+2,40))</f>
        <v>That's How You Know</v>
      </c>
      <c r="C13" s="3" t="str">
        <f>INDEX(Disney,INDEX(indices,(5-1)*5+3,40))</f>
        <v>It's All Right</v>
      </c>
      <c r="D13" s="3" t="str">
        <f>INDEX(Disney,INDEX(indices,(5-1)*5+4,40))</f>
        <v>You'll Be Back</v>
      </c>
      <c r="E13" s="3" t="str">
        <f>INDEX(Disney,INDEX(indices,(5-1)*5+5,40))</f>
        <v>When You Wish Upon a Star</v>
      </c>
    </row>
    <row r="14" spans="1:5" ht="93" customHeight="1" x14ac:dyDescent="0.25">
      <c r="A14" s="39"/>
      <c r="B14" s="39" t="s">
        <v>209</v>
      </c>
      <c r="C14" s="39" t="s">
        <v>296</v>
      </c>
      <c r="D14" s="39" t="s">
        <v>295</v>
      </c>
      <c r="E14" s="39"/>
    </row>
  </sheetData>
  <mergeCells count="2">
    <mergeCell ref="A1:E1"/>
    <mergeCell ref="A8:E8"/>
  </mergeCells>
  <conditionalFormatting sqref="A2:E6">
    <cfRule type="expression" dxfId="11" priority="2" stopIfTrue="1">
      <formula>LOWER(INDEX(Disney_Played,MATCH(A2,Disney,0)))="x"</formula>
    </cfRule>
  </conditionalFormatting>
  <conditionalFormatting sqref="A9:E13">
    <cfRule type="expression" dxfId="10" priority="1" stopIfTrue="1">
      <formula>LOWER(INDEX(Disney_Played,MATCH(A9,Disney,0)))="x"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BA6AA-CC9F-4B55-BA9B-EB0A0202B091}">
  <sheetPr codeName="Sheet24"/>
  <dimension ref="A1:E14"/>
  <sheetViews>
    <sheetView workbookViewId="0">
      <selection activeCell="A9" sqref="A9:E13"/>
    </sheetView>
  </sheetViews>
  <sheetFormatPr defaultColWidth="17.7109375" defaultRowHeight="93" customHeight="1" x14ac:dyDescent="0.25"/>
  <sheetData>
    <row r="1" spans="1:5" ht="93" customHeight="1" x14ac:dyDescent="0.25">
      <c r="A1" s="43" t="s">
        <v>230</v>
      </c>
      <c r="B1" s="43"/>
      <c r="C1" s="43"/>
      <c r="D1" s="43"/>
      <c r="E1" s="43"/>
    </row>
    <row r="2" spans="1:5" ht="93" customHeight="1" x14ac:dyDescent="0.25">
      <c r="A2" s="3" t="str">
        <f>INDEX(Disney,INDEX(indices,(1-1)*5+1,41))</f>
        <v>If I Didn't Have You</v>
      </c>
      <c r="B2" s="3" t="str">
        <f>INDEX(Disney,INDEX(indices,(1-1)*5+2,41))</f>
        <v>Zero To Hero</v>
      </c>
      <c r="C2" s="3" t="str">
        <f>INDEX(Disney,INDEX(indices,(1-1)*5+3,41))</f>
        <v>You've Got a Friend in Me</v>
      </c>
      <c r="D2" s="3" t="str">
        <f>INDEX(Disney,INDEX(indices,(1-1)*5+4,41))</f>
        <v>Step In Time</v>
      </c>
      <c r="E2" s="3" t="str">
        <f>INDEX(Disney,INDEX(indices,(1-1)*5+5,41))</f>
        <v>After Today</v>
      </c>
    </row>
    <row r="3" spans="1:5" ht="93" customHeight="1" x14ac:dyDescent="0.25">
      <c r="A3" s="3" t="str">
        <f>INDEX(Disney,INDEX(indices,(2-1)*5+1,41))</f>
        <v>Soarin'</v>
      </c>
      <c r="B3" s="3" t="str">
        <f>INDEX(Disney,INDEX(indices,(2-1)*5+2,41))</f>
        <v>Fantasmic!</v>
      </c>
      <c r="C3" s="3" t="str">
        <f>INDEX(Disney,INDEX(indices,(2-1)*5+3,41))</f>
        <v>Heigh-Ho</v>
      </c>
      <c r="D3" s="3" t="str">
        <f>INDEX(Disney,INDEX(indices,(2-1)*5+4,41))</f>
        <v>Hakuna Matata</v>
      </c>
      <c r="E3" s="3" t="str">
        <f>INDEX(Disney,INDEX(indices,(2-1)*5+5,41))</f>
        <v>Love</v>
      </c>
    </row>
    <row r="4" spans="1:5" ht="93" customHeight="1" x14ac:dyDescent="0.25">
      <c r="A4" s="3" t="str">
        <f>INDEX(Disney,INDEX(indices,(3-1)*5+1,41))</f>
        <v>Thomas O'Malley Cat</v>
      </c>
      <c r="B4" s="3" t="str">
        <f>INDEX(Disney,INDEX(indices,(3-1)*5+2,41))</f>
        <v>I See You</v>
      </c>
      <c r="C4" s="3" t="str">
        <f>INDEX(Disney,INDEX(indices,(3-1)*5+3,41))</f>
        <v>What's My Name</v>
      </c>
      <c r="D4" s="3" t="str">
        <f>INDEX(Disney,INDEX(indices,(3-1)*5+4,41))</f>
        <v>When You Wish Upon a Star</v>
      </c>
      <c r="E4" s="3" t="str">
        <f>INDEX(Disney,INDEX(indices,(3-1)*5+5,41))</f>
        <v>Just Around the Riverbend</v>
      </c>
    </row>
    <row r="5" spans="1:5" ht="93" customHeight="1" x14ac:dyDescent="0.25">
      <c r="A5" s="3" t="str">
        <f>INDEX(Disney,INDEX(indices,(4-1)*5+1,41))</f>
        <v>Summer Belongs to You</v>
      </c>
      <c r="B5" s="3" t="str">
        <f>INDEX(Disney,INDEX(indices,(4-1)*5+2,41))</f>
        <v>We're All In This Together</v>
      </c>
      <c r="C5" s="3" t="str">
        <f>INDEX(Disney,INDEX(indices,(4-1)*5+3,41))</f>
        <v>All Aboard</v>
      </c>
      <c r="D5" s="3" t="str">
        <f>INDEX(Disney,INDEX(indices,(4-1)*5+4,41))</f>
        <v>Be Our Guest</v>
      </c>
      <c r="E5" s="3" t="str">
        <f>INDEX(Disney,INDEX(indices,(4-1)*5+5,41))</f>
        <v>Wall-E</v>
      </c>
    </row>
    <row r="6" spans="1:5" ht="93" customHeight="1" x14ac:dyDescent="0.25">
      <c r="A6" s="3" t="str">
        <f>INDEX(Disney,INDEX(indices,(5-1)*5+1,41))</f>
        <v>A Guy Like You</v>
      </c>
      <c r="B6" s="3" t="str">
        <f>INDEX(Disney,INDEX(indices,(5-1)*5+2,41))</f>
        <v>Let It Go</v>
      </c>
      <c r="C6" s="3" t="str">
        <f>INDEX(Disney,INDEX(indices,(5-1)*5+3,41))</f>
        <v>That's How You Know</v>
      </c>
      <c r="D6" s="3" t="str">
        <f>INDEX(Disney,INDEX(indices,(5-1)*5+4,41))</f>
        <v>That's the Life</v>
      </c>
      <c r="E6" s="3" t="str">
        <f>INDEX(Disney,INDEX(indices,(5-1)*5+5,41))</f>
        <v>Steamboat Willie</v>
      </c>
    </row>
    <row r="7" spans="1:5" ht="93" customHeight="1" x14ac:dyDescent="0.25">
      <c r="A7" s="39"/>
      <c r="B7" s="39" t="s">
        <v>210</v>
      </c>
      <c r="C7" s="39" t="s">
        <v>294</v>
      </c>
      <c r="D7" s="39" t="s">
        <v>295</v>
      </c>
      <c r="E7" s="39"/>
    </row>
    <row r="8" spans="1:5" ht="93" customHeight="1" x14ac:dyDescent="0.25">
      <c r="A8" s="43" t="s">
        <v>230</v>
      </c>
      <c r="B8" s="43"/>
      <c r="C8" s="43"/>
      <c r="D8" s="43"/>
      <c r="E8" s="43"/>
    </row>
    <row r="9" spans="1:5" ht="93" customHeight="1" x14ac:dyDescent="0.25">
      <c r="A9" s="3" t="str">
        <f>INDEX(Disney,INDEX(indices,(1-1)*5+1,42))</f>
        <v>Winnie the Pooh</v>
      </c>
      <c r="B9" s="3" t="str">
        <f>INDEX(Disney,INDEX(indices,(1-1)*5+2,42))</f>
        <v>If I Didn't Have You</v>
      </c>
      <c r="C9" s="3" t="str">
        <f>INDEX(Disney,INDEX(indices,(1-1)*5+3,42))</f>
        <v>Steamboat Willie</v>
      </c>
      <c r="D9" s="3" t="str">
        <f>INDEX(Disney,INDEX(indices,(1-1)*5+4,42))</f>
        <v>Mickey Mouse Club March</v>
      </c>
      <c r="E9" s="3" t="str">
        <f>INDEX(Disney,INDEX(indices,(1-1)*5+5,42))</f>
        <v>I See the Light</v>
      </c>
    </row>
    <row r="10" spans="1:5" ht="93" customHeight="1" x14ac:dyDescent="0.25">
      <c r="A10" s="3" t="str">
        <f>INDEX(Disney,INDEX(indices,(2-1)*5+1,42))</f>
        <v>Under the Sea</v>
      </c>
      <c r="B10" s="3" t="str">
        <f>INDEX(Disney,INDEX(indices,(2-1)*5+2,42))</f>
        <v>We're All In This Together</v>
      </c>
      <c r="C10" s="3" t="str">
        <f>INDEX(Disney,INDEX(indices,(2-1)*5+3,42))</f>
        <v>Once Upon a Dream</v>
      </c>
      <c r="D10" s="3" t="str">
        <f>INDEX(Disney,INDEX(indices,(2-1)*5+4,42))</f>
        <v>Just Keep Swimming</v>
      </c>
      <c r="E10" s="3" t="str">
        <f>INDEX(Disney,INDEX(indices,(2-1)*5+5,42))</f>
        <v>Why Should I Worry</v>
      </c>
    </row>
    <row r="11" spans="1:5" ht="93" customHeight="1" x14ac:dyDescent="0.25">
      <c r="A11" s="3" t="str">
        <f>INDEX(Disney,INDEX(indices,(3-1)*5+1,42))</f>
        <v>That's the Life</v>
      </c>
      <c r="B11" s="3" t="str">
        <f>INDEX(Disney,INDEX(indices,(3-1)*5+2,42))</f>
        <v>The Tiki, Tiki, Tiki Room</v>
      </c>
      <c r="C11" s="3" t="str">
        <f>INDEX(Disney,INDEX(indices,(3-1)*5+3,42))</f>
        <v>Thomas O'Malley Cat</v>
      </c>
      <c r="D11" s="3" t="str">
        <f>INDEX(Disney,INDEX(indices,(3-1)*5+4,42))</f>
        <v>I See You</v>
      </c>
      <c r="E11" s="3" t="str">
        <f>INDEX(Disney,INDEX(indices,(3-1)*5+5,42))</f>
        <v>Hakuna Matata</v>
      </c>
    </row>
    <row r="12" spans="1:5" ht="93" customHeight="1" x14ac:dyDescent="0.25">
      <c r="A12" s="3" t="str">
        <f>INDEX(Disney,INDEX(indices,(4-1)*5+1,42))</f>
        <v>The Imperial March</v>
      </c>
      <c r="B12" s="3" t="str">
        <f>INDEX(Disney,INDEX(indices,(4-1)*5+2,42))</f>
        <v>You've Got a Friend in Me</v>
      </c>
      <c r="C12" s="3" t="str">
        <f>INDEX(Disney,INDEX(indices,(4-1)*5+3,42))</f>
        <v>You'll Be In My Heart</v>
      </c>
      <c r="D12" s="3" t="str">
        <f>INDEX(Disney,INDEX(indices,(4-1)*5+4,42))</f>
        <v>Cantina Band</v>
      </c>
      <c r="E12" s="3" t="str">
        <f>INDEX(Disney,INDEX(indices,(4-1)*5+5,42))</f>
        <v>Wall-E</v>
      </c>
    </row>
    <row r="13" spans="1:5" ht="93" customHeight="1" x14ac:dyDescent="0.25">
      <c r="A13" s="3" t="str">
        <f>INDEX(Disney,INDEX(indices,(5-1)*5+1,42))</f>
        <v>Just Like Fire</v>
      </c>
      <c r="B13" s="3" t="str">
        <f>INDEX(Disney,INDEX(indices,(5-1)*5+2,42))</f>
        <v>Remember Me</v>
      </c>
      <c r="C13" s="3" t="str">
        <f>INDEX(Disney,INDEX(indices,(5-1)*5+3,42))</f>
        <v>Just Around the Riverbend</v>
      </c>
      <c r="D13" s="3" t="str">
        <f>INDEX(Disney,INDEX(indices,(5-1)*5+4,42))</f>
        <v>One Little Spark</v>
      </c>
      <c r="E13" s="3" t="str">
        <f>INDEX(Disney,INDEX(indices,(5-1)*5+5,42))</f>
        <v>DuckTales</v>
      </c>
    </row>
    <row r="14" spans="1:5" ht="93" customHeight="1" x14ac:dyDescent="0.25">
      <c r="A14" s="39"/>
      <c r="B14" s="39" t="s">
        <v>210</v>
      </c>
      <c r="C14" s="39" t="s">
        <v>296</v>
      </c>
      <c r="D14" s="39" t="s">
        <v>295</v>
      </c>
      <c r="E14" s="39"/>
    </row>
  </sheetData>
  <mergeCells count="2">
    <mergeCell ref="A1:E1"/>
    <mergeCell ref="A8:E8"/>
  </mergeCells>
  <conditionalFormatting sqref="A2:E6">
    <cfRule type="expression" dxfId="9" priority="2" stopIfTrue="1">
      <formula>LOWER(INDEX(Disney_Played,MATCH(A2,Disney,0)))="x"</formula>
    </cfRule>
  </conditionalFormatting>
  <conditionalFormatting sqref="A9:E13">
    <cfRule type="expression" dxfId="8" priority="1" stopIfTrue="1">
      <formula>LOWER(INDEX(Disney_Played,MATCH(A9,Disney,0)))="x"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7B5F8-5B73-4153-B8C0-4B8BB4CA4584}">
  <sheetPr codeName="Sheet25"/>
  <dimension ref="A1:E14"/>
  <sheetViews>
    <sheetView workbookViewId="0">
      <selection activeCell="A9" sqref="A9:E13"/>
    </sheetView>
  </sheetViews>
  <sheetFormatPr defaultColWidth="17.7109375" defaultRowHeight="93" customHeight="1" x14ac:dyDescent="0.25"/>
  <sheetData>
    <row r="1" spans="1:5" ht="93" customHeight="1" x14ac:dyDescent="0.25">
      <c r="A1" s="43" t="s">
        <v>230</v>
      </c>
      <c r="B1" s="43"/>
      <c r="C1" s="43"/>
      <c r="D1" s="43"/>
      <c r="E1" s="43"/>
    </row>
    <row r="2" spans="1:5" ht="93" customHeight="1" x14ac:dyDescent="0.25">
      <c r="A2" s="3" t="str">
        <f>INDEX(Disney,INDEX(indices,(1-1)*5+1,43))</f>
        <v>Thomas O'Malley Cat</v>
      </c>
      <c r="B2" s="3" t="str">
        <f>INDEX(Disney,INDEX(indices,(1-1)*5+2,43))</f>
        <v>Dig a Little Deeper</v>
      </c>
      <c r="C2" s="3" t="str">
        <f>INDEX(Disney,INDEX(indices,(1-1)*5+3,43))</f>
        <v>You've Got a Friend in Me</v>
      </c>
      <c r="D2" s="3" t="str">
        <f>INDEX(Disney,INDEX(indices,(1-1)*5+4,43))</f>
        <v>Zero To Hero</v>
      </c>
      <c r="E2" s="3" t="str">
        <f>INDEX(Disney,INDEX(indices,(1-1)*5+5,43))</f>
        <v>One Little Spark</v>
      </c>
    </row>
    <row r="3" spans="1:5" ht="93" customHeight="1" x14ac:dyDescent="0.25">
      <c r="A3" s="3" t="str">
        <f>INDEX(Disney,INDEX(indices,(2-1)*5+1,43))</f>
        <v>Just Keep Swimming</v>
      </c>
      <c r="B3" s="3" t="str">
        <f>INDEX(Disney,INDEX(indices,(2-1)*5+2,43))</f>
        <v>You'll Be Back</v>
      </c>
      <c r="C3" s="3" t="str">
        <f>INDEX(Disney,INDEX(indices,(2-1)*5+3,43))</f>
        <v>Let It Go</v>
      </c>
      <c r="D3" s="3" t="str">
        <f>INDEX(Disney,INDEX(indices,(2-1)*5+4,43))</f>
        <v>Why Should I Worry</v>
      </c>
      <c r="E3" s="3" t="str">
        <f>INDEX(Disney,INDEX(indices,(2-1)*5+5,43))</f>
        <v>That's the Life</v>
      </c>
    </row>
    <row r="4" spans="1:5" ht="93" customHeight="1" x14ac:dyDescent="0.25">
      <c r="A4" s="3" t="str">
        <f>INDEX(Disney,INDEX(indices,(3-1)*5+1,43))</f>
        <v>A Guy Like You</v>
      </c>
      <c r="B4" s="3" t="str">
        <f>INDEX(Disney,INDEX(indices,(3-1)*5+2,43))</f>
        <v>Wall-E</v>
      </c>
      <c r="C4" s="3" t="str">
        <f>INDEX(Disney,INDEX(indices,(3-1)*5+3,43))</f>
        <v>He Mele No Lilo</v>
      </c>
      <c r="D4" s="3" t="str">
        <f>INDEX(Disney,INDEX(indices,(3-1)*5+4,43))</f>
        <v>When You Wish Upon a Star</v>
      </c>
      <c r="E4" s="3" t="str">
        <f>INDEX(Disney,INDEX(indices,(3-1)*5+5,43))</f>
        <v>Mickey Mouse Club March</v>
      </c>
    </row>
    <row r="5" spans="1:5" ht="93" customHeight="1" x14ac:dyDescent="0.25">
      <c r="A5" s="3" t="str">
        <f>INDEX(Disney,INDEX(indices,(4-1)*5+1,43))</f>
        <v>Just Around the Riverbend</v>
      </c>
      <c r="B5" s="3" t="str">
        <f>INDEX(Disney,INDEX(indices,(4-1)*5+2,43))</f>
        <v>Back In the Saddle</v>
      </c>
      <c r="C5" s="3" t="str">
        <f>INDEX(Disney,INDEX(indices,(4-1)*5+3,43))</f>
        <v>The Twilight Zone Tower of Terror</v>
      </c>
      <c r="D5" s="3" t="str">
        <f>INDEX(Disney,INDEX(indices,(4-1)*5+4,43))</f>
        <v>Baby Mine</v>
      </c>
      <c r="E5" s="3" t="str">
        <f>INDEX(Disney,INDEX(indices,(4-1)*5+5,43))</f>
        <v>All Aboard</v>
      </c>
    </row>
    <row r="6" spans="1:5" ht="93" customHeight="1" x14ac:dyDescent="0.25">
      <c r="A6" s="3" t="str">
        <f>INDEX(Disney,INDEX(indices,(5-1)*5+1,43))</f>
        <v>We're All In This Together</v>
      </c>
      <c r="B6" s="3" t="str">
        <f>INDEX(Disney,INDEX(indices,(5-1)*5+2,43))</f>
        <v>What's My Name</v>
      </c>
      <c r="C6" s="3" t="str">
        <f>INDEX(Disney,INDEX(indices,(5-1)*5+3,43))</f>
        <v>The Incredits</v>
      </c>
      <c r="D6" s="3" t="str">
        <f>INDEX(Disney,INDEX(indices,(5-1)*5+4,43))</f>
        <v>That's How You Know</v>
      </c>
      <c r="E6" s="3" t="str">
        <f>INDEX(Disney,INDEX(indices,(5-1)*5+5,43))</f>
        <v>Swissapolka</v>
      </c>
    </row>
    <row r="7" spans="1:5" ht="93" customHeight="1" x14ac:dyDescent="0.25">
      <c r="A7" s="39"/>
      <c r="B7" s="39" t="s">
        <v>211</v>
      </c>
      <c r="C7" s="39" t="s">
        <v>294</v>
      </c>
      <c r="D7" s="39" t="s">
        <v>295</v>
      </c>
      <c r="E7" s="39"/>
    </row>
    <row r="8" spans="1:5" ht="93" customHeight="1" x14ac:dyDescent="0.25">
      <c r="A8" s="43" t="s">
        <v>230</v>
      </c>
      <c r="B8" s="43"/>
      <c r="C8" s="43"/>
      <c r="D8" s="43"/>
      <c r="E8" s="43"/>
    </row>
    <row r="9" spans="1:5" ht="93" customHeight="1" x14ac:dyDescent="0.25">
      <c r="A9" s="3" t="str">
        <f>INDEX(Disney,INDEX(indices,(1-1)*5+1,44))</f>
        <v>Back In the Saddle</v>
      </c>
      <c r="B9" s="3" t="str">
        <f>INDEX(Disney,INDEX(indices,(1-1)*5+2,44))</f>
        <v>When You Wish Upon a Star</v>
      </c>
      <c r="C9" s="3" t="str">
        <f>INDEX(Disney,INDEX(indices,(1-1)*5+3,44))</f>
        <v>You'll Be Back</v>
      </c>
      <c r="D9" s="3" t="str">
        <f>INDEX(Disney,INDEX(indices,(1-1)*5+4,44))</f>
        <v>Just Keep Swimming</v>
      </c>
      <c r="E9" s="3" t="str">
        <f>INDEX(Disney,INDEX(indices,(1-1)*5+5,44))</f>
        <v>A Whole New World</v>
      </c>
    </row>
    <row r="10" spans="1:5" ht="93" customHeight="1" x14ac:dyDescent="0.25">
      <c r="A10" s="3" t="str">
        <f>INDEX(Disney,INDEX(indices,(2-1)*5+1,44))</f>
        <v>Bibbidi-Bobbidi-Boo</v>
      </c>
      <c r="B10" s="3" t="str">
        <f>INDEX(Disney,INDEX(indices,(2-1)*5+2,44))</f>
        <v>If I Didn't Have You</v>
      </c>
      <c r="C10" s="3" t="str">
        <f>INDEX(Disney,INDEX(indices,(2-1)*5+3,44))</f>
        <v>After Today</v>
      </c>
      <c r="D10" s="3" t="str">
        <f>INDEX(Disney,INDEX(indices,(2-1)*5+4,44))</f>
        <v>A Guy Like You</v>
      </c>
      <c r="E10" s="3" t="str">
        <f>INDEX(Disney,INDEX(indices,(2-1)*5+5,44))</f>
        <v>I See the Light</v>
      </c>
    </row>
    <row r="11" spans="1:5" ht="93" customHeight="1" x14ac:dyDescent="0.25">
      <c r="A11" s="3" t="str">
        <f>INDEX(Disney,INDEX(indices,(3-1)*5+1,44))</f>
        <v>The Tiki, Tiki, Tiki Room</v>
      </c>
      <c r="B11" s="3" t="str">
        <f>INDEX(Disney,INDEX(indices,(3-1)*5+2,44))</f>
        <v>Remember Me</v>
      </c>
      <c r="C11" s="3" t="str">
        <f>INDEX(Disney,INDEX(indices,(3-1)*5+3,44))</f>
        <v>A Pirate's Life</v>
      </c>
      <c r="D11" s="3" t="str">
        <f>INDEX(Disney,INDEX(indices,(3-1)*5+4,44))</f>
        <v>Hakuna Matata</v>
      </c>
      <c r="E11" s="3" t="str">
        <f>INDEX(Disney,INDEX(indices,(3-1)*5+5,44))</f>
        <v>We're All In This Together</v>
      </c>
    </row>
    <row r="12" spans="1:5" ht="93" customHeight="1" x14ac:dyDescent="0.25">
      <c r="A12" s="3" t="str">
        <f>INDEX(Disney,INDEX(indices,(4-1)*5+1,44))</f>
        <v>All Aboard</v>
      </c>
      <c r="B12" s="3" t="str">
        <f>INDEX(Disney,INDEX(indices,(4-1)*5+2,44))</f>
        <v>Try Everything</v>
      </c>
      <c r="C12" s="3" t="str">
        <f>INDEX(Disney,INDEX(indices,(4-1)*5+3,44))</f>
        <v>Touch the Sky</v>
      </c>
      <c r="D12" s="3" t="str">
        <f>INDEX(Disney,INDEX(indices,(4-1)*5+4,44))</f>
        <v>Friend Like Me</v>
      </c>
      <c r="E12" s="3" t="str">
        <f>INDEX(Disney,INDEX(indices,(4-1)*5+5,44))</f>
        <v>Let It Go</v>
      </c>
    </row>
    <row r="13" spans="1:5" ht="93" customHeight="1" x14ac:dyDescent="0.25">
      <c r="A13" s="3" t="str">
        <f>INDEX(Disney,INDEX(indices,(5-1)*5+1,44))</f>
        <v>It's All Right</v>
      </c>
      <c r="B13" s="3" t="str">
        <f>INDEX(Disney,INDEX(indices,(5-1)*5+2,44))</f>
        <v>Flitterin'</v>
      </c>
      <c r="C13" s="3" t="str">
        <f>INDEX(Disney,INDEX(indices,(5-1)*5+3,44))</f>
        <v>Swissapolka</v>
      </c>
      <c r="D13" s="3" t="str">
        <f>INDEX(Disney,INDEX(indices,(5-1)*5+4,44))</f>
        <v>Step In Time</v>
      </c>
      <c r="E13" s="3" t="str">
        <f>INDEX(Disney,INDEX(indices,(5-1)*5+5,44))</f>
        <v>Love</v>
      </c>
    </row>
    <row r="14" spans="1:5" ht="93" customHeight="1" x14ac:dyDescent="0.25">
      <c r="A14" s="39"/>
      <c r="B14" s="39" t="s">
        <v>211</v>
      </c>
      <c r="C14" s="39" t="s">
        <v>296</v>
      </c>
      <c r="D14" s="39" t="s">
        <v>295</v>
      </c>
      <c r="E14" s="39"/>
    </row>
  </sheetData>
  <mergeCells count="2">
    <mergeCell ref="A1:E1"/>
    <mergeCell ref="A8:E8"/>
  </mergeCells>
  <conditionalFormatting sqref="A2:E6">
    <cfRule type="expression" dxfId="7" priority="2" stopIfTrue="1">
      <formula>LOWER(INDEX(Disney_Played,MATCH(A2,Disney,0)))="x"</formula>
    </cfRule>
  </conditionalFormatting>
  <conditionalFormatting sqref="A9:E13">
    <cfRule type="expression" dxfId="6" priority="1" stopIfTrue="1">
      <formula>LOWER(INDEX(Disney_Played,MATCH(A9,Disney,0)))="x"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0722E-D8E4-4521-840F-4DEFDD54451C}">
  <sheetPr codeName="Sheet26"/>
  <dimension ref="A1:E14"/>
  <sheetViews>
    <sheetView workbookViewId="0">
      <selection activeCell="A9" sqref="A9:E13"/>
    </sheetView>
  </sheetViews>
  <sheetFormatPr defaultColWidth="17.7109375" defaultRowHeight="93" customHeight="1" x14ac:dyDescent="0.25"/>
  <sheetData>
    <row r="1" spans="1:5" ht="93" customHeight="1" x14ac:dyDescent="0.25">
      <c r="A1" s="43" t="s">
        <v>230</v>
      </c>
      <c r="B1" s="43"/>
      <c r="C1" s="43"/>
      <c r="D1" s="43"/>
      <c r="E1" s="43"/>
    </row>
    <row r="2" spans="1:5" ht="93" customHeight="1" x14ac:dyDescent="0.25">
      <c r="A2" s="3" t="str">
        <f>INDEX(Disney,INDEX(indices,(1-1)*5+1,45))</f>
        <v>You'll Be In My Heart</v>
      </c>
      <c r="B2" s="3" t="str">
        <f>INDEX(Disney,INDEX(indices,(1-1)*5+2,45))</f>
        <v>The Incredits</v>
      </c>
      <c r="C2" s="3" t="str">
        <f>INDEX(Disney,INDEX(indices,(1-1)*5+3,45))</f>
        <v>Swissapolka</v>
      </c>
      <c r="D2" s="3" t="str">
        <f>INDEX(Disney,INDEX(indices,(1-1)*5+4,45))</f>
        <v>It's a Small World</v>
      </c>
      <c r="E2" s="3" t="str">
        <f>INDEX(Disney,INDEX(indices,(1-1)*5+5,45))</f>
        <v>Bibbidi-Bobbidi-Boo</v>
      </c>
    </row>
    <row r="3" spans="1:5" ht="93" customHeight="1" x14ac:dyDescent="0.25">
      <c r="A3" s="3" t="str">
        <f>INDEX(Disney,INDEX(indices,(2-1)*5+1,45))</f>
        <v>Try Everything</v>
      </c>
      <c r="B3" s="3" t="str">
        <f>INDEX(Disney,INDEX(indices,(2-1)*5+2,45))</f>
        <v>Flitterin'</v>
      </c>
      <c r="C3" s="3" t="str">
        <f>INDEX(Disney,INDEX(indices,(2-1)*5+3,45))</f>
        <v>You'll Be Back</v>
      </c>
      <c r="D3" s="3" t="str">
        <f>INDEX(Disney,INDEX(indices,(2-1)*5+4,45))</f>
        <v>Cantina Band</v>
      </c>
      <c r="E3" s="3" t="str">
        <f>INDEX(Disney,INDEX(indices,(2-1)*5+5,45))</f>
        <v>Life Is a Highway</v>
      </c>
    </row>
    <row r="4" spans="1:5" ht="93" customHeight="1" x14ac:dyDescent="0.25">
      <c r="A4" s="3" t="str">
        <f>INDEX(Disney,INDEX(indices,(3-1)*5+1,45))</f>
        <v>A Whole New World</v>
      </c>
      <c r="B4" s="3" t="str">
        <f>INDEX(Disney,INDEX(indices,(3-1)*5+2,45))</f>
        <v>Let It Go</v>
      </c>
      <c r="C4" s="3" t="str">
        <f>INDEX(Disney,INDEX(indices,(3-1)*5+3,45))</f>
        <v>Summer Belongs to You</v>
      </c>
      <c r="D4" s="3" t="str">
        <f>INDEX(Disney,INDEX(indices,(3-1)*5+4,45))</f>
        <v>If I Didn't Have You</v>
      </c>
      <c r="E4" s="3" t="str">
        <f>INDEX(Disney,INDEX(indices,(3-1)*5+5,45))</f>
        <v>Zero To Hero</v>
      </c>
    </row>
    <row r="5" spans="1:5" ht="93" customHeight="1" x14ac:dyDescent="0.25">
      <c r="A5" s="3" t="str">
        <f>INDEX(Disney,INDEX(indices,(4-1)*5+1,45))</f>
        <v>He Mele No Lilo</v>
      </c>
      <c r="B5" s="3" t="str">
        <f>INDEX(Disney,INDEX(indices,(4-1)*5+2,45))</f>
        <v>Remember Me</v>
      </c>
      <c r="C5" s="3" t="str">
        <f>INDEX(Disney,INDEX(indices,(4-1)*5+3,45))</f>
        <v>That's the Life</v>
      </c>
      <c r="D5" s="3" t="str">
        <f>INDEX(Disney,INDEX(indices,(4-1)*5+4,45))</f>
        <v>The Twilight Zone Tower of Terror</v>
      </c>
      <c r="E5" s="3" t="str">
        <f>INDEX(Disney,INDEX(indices,(4-1)*5+5,45))</f>
        <v>Winnie the Pooh</v>
      </c>
    </row>
    <row r="6" spans="1:5" ht="93" customHeight="1" x14ac:dyDescent="0.25">
      <c r="A6" s="3" t="str">
        <f>INDEX(Disney,INDEX(indices,(5-1)*5+1,45))</f>
        <v>When You Wish Upon a Star</v>
      </c>
      <c r="B6" s="3" t="str">
        <f>INDEX(Disney,INDEX(indices,(5-1)*5+2,45))</f>
        <v>The Tiki, Tiki, Tiki Room</v>
      </c>
      <c r="C6" s="3" t="str">
        <f>INDEX(Disney,INDEX(indices,(5-1)*5+3,45))</f>
        <v>Heigh-Ho</v>
      </c>
      <c r="D6" s="3" t="str">
        <f>INDEX(Disney,INDEX(indices,(5-1)*5+4,45))</f>
        <v>Oggie Boogie's Song</v>
      </c>
      <c r="E6" s="3" t="str">
        <f>INDEX(Disney,INDEX(indices,(5-1)*5+5,45))</f>
        <v>I See the Light</v>
      </c>
    </row>
    <row r="7" spans="1:5" ht="93" customHeight="1" x14ac:dyDescent="0.25">
      <c r="A7" s="39"/>
      <c r="B7" s="39" t="s">
        <v>212</v>
      </c>
      <c r="C7" s="39" t="s">
        <v>294</v>
      </c>
      <c r="D7" s="39" t="s">
        <v>295</v>
      </c>
      <c r="E7" s="39"/>
    </row>
    <row r="8" spans="1:5" ht="93" customHeight="1" x14ac:dyDescent="0.25">
      <c r="A8" s="43" t="s">
        <v>230</v>
      </c>
      <c r="B8" s="43"/>
      <c r="C8" s="43"/>
      <c r="D8" s="43"/>
      <c r="E8" s="43"/>
    </row>
    <row r="9" spans="1:5" ht="93" customHeight="1" x14ac:dyDescent="0.25">
      <c r="A9" s="3" t="str">
        <f>INDEX(Disney,INDEX(indices,(1-1)*5+1,46))</f>
        <v>You'll Be Back</v>
      </c>
      <c r="B9" s="3" t="str">
        <f>INDEX(Disney,INDEX(indices,(1-1)*5+2,46))</f>
        <v>We're All In This Together</v>
      </c>
      <c r="C9" s="3" t="str">
        <f>INDEX(Disney,INDEX(indices,(1-1)*5+3,46))</f>
        <v>How Far I'll Go</v>
      </c>
      <c r="D9" s="3" t="str">
        <f>INDEX(Disney,INDEX(indices,(1-1)*5+4,46))</f>
        <v>The Incredits</v>
      </c>
      <c r="E9" s="3" t="str">
        <f>INDEX(Disney,INDEX(indices,(1-1)*5+5,46))</f>
        <v>All Aboard</v>
      </c>
    </row>
    <row r="10" spans="1:5" ht="93" customHeight="1" x14ac:dyDescent="0.25">
      <c r="A10" s="3" t="str">
        <f>INDEX(Disney,INDEX(indices,(2-1)*5+1,46))</f>
        <v>Steamboat Willie</v>
      </c>
      <c r="B10" s="3" t="str">
        <f>INDEX(Disney,INDEX(indices,(2-1)*5+2,46))</f>
        <v>DuckTales</v>
      </c>
      <c r="C10" s="3" t="str">
        <f>INDEX(Disney,INDEX(indices,(2-1)*5+3,46))</f>
        <v>It's All Right</v>
      </c>
      <c r="D10" s="3" t="str">
        <f>INDEX(Disney,INDEX(indices,(2-1)*5+4,46))</f>
        <v>Flitterin'</v>
      </c>
      <c r="E10" s="3" t="str">
        <f>INDEX(Disney,INDEX(indices,(2-1)*5+5,46))</f>
        <v>Bibbidi-Bobbidi-Boo</v>
      </c>
    </row>
    <row r="11" spans="1:5" ht="93" customHeight="1" x14ac:dyDescent="0.25">
      <c r="A11" s="3" t="str">
        <f>INDEX(Disney,INDEX(indices,(3-1)*5+1,46))</f>
        <v>I See the Light</v>
      </c>
      <c r="B11" s="3" t="str">
        <f>INDEX(Disney,INDEX(indices,(3-1)*5+2,46))</f>
        <v>Remember Me</v>
      </c>
      <c r="C11" s="3" t="str">
        <f>INDEX(Disney,INDEX(indices,(3-1)*5+3,46))</f>
        <v>Step In Time</v>
      </c>
      <c r="D11" s="3" t="str">
        <f>INDEX(Disney,INDEX(indices,(3-1)*5+4,46))</f>
        <v>What's My Name</v>
      </c>
      <c r="E11" s="3" t="str">
        <f>INDEX(Disney,INDEX(indices,(3-1)*5+5,46))</f>
        <v>Zero To Hero</v>
      </c>
    </row>
    <row r="12" spans="1:5" ht="93" customHeight="1" x14ac:dyDescent="0.25">
      <c r="A12" s="3" t="str">
        <f>INDEX(Disney,INDEX(indices,(4-1)*5+1,46))</f>
        <v>A Whole New World</v>
      </c>
      <c r="B12" s="3" t="str">
        <f>INDEX(Disney,INDEX(indices,(4-1)*5+2,46))</f>
        <v>He Mele No Lilo</v>
      </c>
      <c r="C12" s="3" t="str">
        <f>INDEX(Disney,INDEX(indices,(4-1)*5+3,46))</f>
        <v>Under the Sea</v>
      </c>
      <c r="D12" s="3" t="str">
        <f>INDEX(Disney,INDEX(indices,(4-1)*5+4,46))</f>
        <v>Wall-E</v>
      </c>
      <c r="E12" s="3" t="str">
        <f>INDEX(Disney,INDEX(indices,(4-1)*5+5,46))</f>
        <v>I See You</v>
      </c>
    </row>
    <row r="13" spans="1:5" ht="93" customHeight="1" x14ac:dyDescent="0.25">
      <c r="A13" s="3" t="str">
        <f>INDEX(Disney,INDEX(indices,(5-1)*5+1,46))</f>
        <v>It's a Small World</v>
      </c>
      <c r="B13" s="3" t="str">
        <f>INDEX(Disney,INDEX(indices,(5-1)*5+2,46))</f>
        <v>Fantasmic!</v>
      </c>
      <c r="C13" s="3" t="str">
        <f>INDEX(Disney,INDEX(indices,(5-1)*5+3,46))</f>
        <v>Why Should I Worry</v>
      </c>
      <c r="D13" s="3" t="str">
        <f>INDEX(Disney,INDEX(indices,(5-1)*5+4,46))</f>
        <v>Swissapolka</v>
      </c>
      <c r="E13" s="3" t="str">
        <f>INDEX(Disney,INDEX(indices,(5-1)*5+5,46))</f>
        <v>That's the Life</v>
      </c>
    </row>
    <row r="14" spans="1:5" ht="93" customHeight="1" x14ac:dyDescent="0.25">
      <c r="A14" s="39"/>
      <c r="B14" s="39" t="s">
        <v>212</v>
      </c>
      <c r="C14" s="39" t="s">
        <v>296</v>
      </c>
      <c r="D14" s="39" t="s">
        <v>295</v>
      </c>
      <c r="E14" s="39"/>
    </row>
  </sheetData>
  <mergeCells count="2">
    <mergeCell ref="A1:E1"/>
    <mergeCell ref="A8:E8"/>
  </mergeCells>
  <conditionalFormatting sqref="A2:E6">
    <cfRule type="expression" dxfId="5" priority="2" stopIfTrue="1">
      <formula>LOWER(INDEX(Disney_Played,MATCH(A2,Disney,0)))="x"</formula>
    </cfRule>
  </conditionalFormatting>
  <conditionalFormatting sqref="A9:E13">
    <cfRule type="expression" dxfId="4" priority="1" stopIfTrue="1">
      <formula>LOWER(INDEX(Disney_Played,MATCH(A9,Disney,0)))="x"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50EE5-A85C-43CF-9447-5ADB82FB4631}">
  <sheetPr codeName="Sheet27"/>
  <dimension ref="A1:E14"/>
  <sheetViews>
    <sheetView workbookViewId="0">
      <selection activeCell="A9" sqref="A9:E13"/>
    </sheetView>
  </sheetViews>
  <sheetFormatPr defaultColWidth="17.7109375" defaultRowHeight="93" customHeight="1" x14ac:dyDescent="0.25"/>
  <sheetData>
    <row r="1" spans="1:5" ht="93" customHeight="1" x14ac:dyDescent="0.25">
      <c r="A1" s="43" t="s">
        <v>230</v>
      </c>
      <c r="B1" s="43"/>
      <c r="C1" s="43"/>
      <c r="D1" s="43"/>
      <c r="E1" s="43"/>
    </row>
    <row r="2" spans="1:5" ht="93" customHeight="1" x14ac:dyDescent="0.25">
      <c r="A2" s="3" t="str">
        <f>INDEX(Disney,INDEX(indices,(1-1)*5+1,47))</f>
        <v>You've Got a Friend in Me</v>
      </c>
      <c r="B2" s="3" t="str">
        <f>INDEX(Disney,INDEX(indices,(1-1)*5+2,47))</f>
        <v>That's How You Know</v>
      </c>
      <c r="C2" s="3" t="str">
        <f>INDEX(Disney,INDEX(indices,(1-1)*5+3,47))</f>
        <v>A Guy Like You</v>
      </c>
      <c r="D2" s="3" t="str">
        <f>INDEX(Disney,INDEX(indices,(1-1)*5+4,47))</f>
        <v>Thomas O'Malley Cat</v>
      </c>
      <c r="E2" s="3" t="str">
        <f>INDEX(Disney,INDEX(indices,(1-1)*5+5,47))</f>
        <v>Soarin'</v>
      </c>
    </row>
    <row r="3" spans="1:5" ht="93" customHeight="1" x14ac:dyDescent="0.25">
      <c r="A3" s="3" t="str">
        <f>INDEX(Disney,INDEX(indices,(2-1)*5+1,47))</f>
        <v>Zero</v>
      </c>
      <c r="B3" s="3" t="str">
        <f>INDEX(Disney,INDEX(indices,(2-1)*5+2,47))</f>
        <v>Back In the Saddle</v>
      </c>
      <c r="C3" s="3" t="str">
        <f>INDEX(Disney,INDEX(indices,(2-1)*5+3,47))</f>
        <v>After Today</v>
      </c>
      <c r="D3" s="3" t="str">
        <f>INDEX(Disney,INDEX(indices,(2-1)*5+4,47))</f>
        <v>Iron Man</v>
      </c>
      <c r="E3" s="3" t="str">
        <f>INDEX(Disney,INDEX(indices,(2-1)*5+5,47))</f>
        <v>You'll Be Back</v>
      </c>
    </row>
    <row r="4" spans="1:5" ht="93" customHeight="1" x14ac:dyDescent="0.25">
      <c r="A4" s="3" t="str">
        <f>INDEX(Disney,INDEX(indices,(3-1)*5+1,47))</f>
        <v>The Bare Necessities</v>
      </c>
      <c r="B4" s="3" t="str">
        <f>INDEX(Disney,INDEX(indices,(3-1)*5+2,47))</f>
        <v>Zero To Hero</v>
      </c>
      <c r="C4" s="3" t="str">
        <f>INDEX(Disney,INDEX(indices,(3-1)*5+3,47))</f>
        <v>We're All In This Together</v>
      </c>
      <c r="D4" s="3" t="str">
        <f>INDEX(Disney,INDEX(indices,(3-1)*5+4,47))</f>
        <v>Hakuna Matata</v>
      </c>
      <c r="E4" s="3" t="str">
        <f>INDEX(Disney,INDEX(indices,(3-1)*5+5,47))</f>
        <v>Summer Belongs to You</v>
      </c>
    </row>
    <row r="5" spans="1:5" ht="93" customHeight="1" x14ac:dyDescent="0.25">
      <c r="A5" s="3" t="str">
        <f>INDEX(Disney,INDEX(indices,(4-1)*5+1,47))</f>
        <v>Just Like Fire</v>
      </c>
      <c r="B5" s="3" t="str">
        <f>INDEX(Disney,INDEX(indices,(4-1)*5+2,47))</f>
        <v>Cantina Band</v>
      </c>
      <c r="C5" s="3" t="str">
        <f>INDEX(Disney,INDEX(indices,(4-1)*5+3,47))</f>
        <v>Life Is a Highway</v>
      </c>
      <c r="D5" s="3" t="str">
        <f>INDEX(Disney,INDEX(indices,(4-1)*5+4,47))</f>
        <v>A Whole New World</v>
      </c>
      <c r="E5" s="3" t="str">
        <f>INDEX(Disney,INDEX(indices,(4-1)*5+5,47))</f>
        <v>Let It Go</v>
      </c>
    </row>
    <row r="6" spans="1:5" ht="93" customHeight="1" x14ac:dyDescent="0.25">
      <c r="A6" s="3" t="str">
        <f>INDEX(Disney,INDEX(indices,(5-1)*5+1,47))</f>
        <v>One Little Spark</v>
      </c>
      <c r="B6" s="3" t="str">
        <f>INDEX(Disney,INDEX(indices,(5-1)*5+2,47))</f>
        <v>The Twilight Zone Tower of Terror</v>
      </c>
      <c r="C6" s="3" t="str">
        <f>INDEX(Disney,INDEX(indices,(5-1)*5+3,47))</f>
        <v>Be Our Guest</v>
      </c>
      <c r="D6" s="3" t="str">
        <f>INDEX(Disney,INDEX(indices,(5-1)*5+4,47))</f>
        <v>Friend Like Me</v>
      </c>
      <c r="E6" s="3" t="str">
        <f>INDEX(Disney,INDEX(indices,(5-1)*5+5,47))</f>
        <v>The Incredits</v>
      </c>
    </row>
    <row r="7" spans="1:5" ht="93" customHeight="1" x14ac:dyDescent="0.25">
      <c r="A7" s="39"/>
      <c r="B7" s="39" t="s">
        <v>213</v>
      </c>
      <c r="C7" s="39" t="s">
        <v>294</v>
      </c>
      <c r="D7" s="39" t="s">
        <v>295</v>
      </c>
      <c r="E7" s="39"/>
    </row>
    <row r="8" spans="1:5" ht="93" customHeight="1" x14ac:dyDescent="0.25">
      <c r="A8" s="43" t="s">
        <v>230</v>
      </c>
      <c r="B8" s="43"/>
      <c r="C8" s="43"/>
      <c r="D8" s="43"/>
      <c r="E8" s="43"/>
    </row>
    <row r="9" spans="1:5" ht="93" customHeight="1" x14ac:dyDescent="0.25">
      <c r="A9" s="3" t="str">
        <f>INDEX(Disney,INDEX(indices,(1-1)*5+1,48))</f>
        <v>I See the Light</v>
      </c>
      <c r="B9" s="3" t="str">
        <f>INDEX(Disney,INDEX(indices,(1-1)*5+2,48))</f>
        <v>It's a Small World</v>
      </c>
      <c r="C9" s="3" t="str">
        <f>INDEX(Disney,INDEX(indices,(1-1)*5+3,48))</f>
        <v>Touch the Sky</v>
      </c>
      <c r="D9" s="3" t="str">
        <f>INDEX(Disney,INDEX(indices,(1-1)*5+4,48))</f>
        <v>How Far I'll Go</v>
      </c>
      <c r="E9" s="3" t="str">
        <f>INDEX(Disney,INDEX(indices,(1-1)*5+5,48))</f>
        <v>If I Didn't Have You</v>
      </c>
    </row>
    <row r="10" spans="1:5" ht="93" customHeight="1" x14ac:dyDescent="0.25">
      <c r="A10" s="3" t="str">
        <f>INDEX(Disney,INDEX(indices,(2-1)*5+1,48))</f>
        <v>You've Got a Friend in Me</v>
      </c>
      <c r="B10" s="3" t="str">
        <f>INDEX(Disney,INDEX(indices,(2-1)*5+2,48))</f>
        <v>Once Upon a Dream</v>
      </c>
      <c r="C10" s="3" t="str">
        <f>INDEX(Disney,INDEX(indices,(2-1)*5+3,48))</f>
        <v>Life Is a Highway</v>
      </c>
      <c r="D10" s="3" t="str">
        <f>INDEX(Disney,INDEX(indices,(2-1)*5+4,48))</f>
        <v>Zero</v>
      </c>
      <c r="E10" s="3" t="str">
        <f>INDEX(Disney,INDEX(indices,(2-1)*5+5,48))</f>
        <v>The Twilight Zone Tower of Terror</v>
      </c>
    </row>
    <row r="11" spans="1:5" ht="93" customHeight="1" x14ac:dyDescent="0.25">
      <c r="A11" s="3" t="str">
        <f>INDEX(Disney,INDEX(indices,(3-1)*5+1,48))</f>
        <v>Dig a Little Deeper</v>
      </c>
      <c r="B11" s="3" t="str">
        <f>INDEX(Disney,INDEX(indices,(3-1)*5+2,48))</f>
        <v>Bibbidi-Bobbidi-Boo</v>
      </c>
      <c r="C11" s="3" t="str">
        <f>INDEX(Disney,INDEX(indices,(3-1)*5+3,48))</f>
        <v>It's All Right</v>
      </c>
      <c r="D11" s="3" t="str">
        <f>INDEX(Disney,INDEX(indices,(3-1)*5+4,48))</f>
        <v>Flitterin'</v>
      </c>
      <c r="E11" s="3" t="str">
        <f>INDEX(Disney,INDEX(indices,(3-1)*5+5,48))</f>
        <v>Under the Sea</v>
      </c>
    </row>
    <row r="12" spans="1:5" ht="93" customHeight="1" x14ac:dyDescent="0.25">
      <c r="A12" s="3" t="str">
        <f>INDEX(Disney,INDEX(indices,(4-1)*5+1,48))</f>
        <v>After Today</v>
      </c>
      <c r="B12" s="3" t="str">
        <f>INDEX(Disney,INDEX(indices,(4-1)*5+2,48))</f>
        <v>Oggie Boogie's Song</v>
      </c>
      <c r="C12" s="3" t="str">
        <f>INDEX(Disney,INDEX(indices,(4-1)*5+3,48))</f>
        <v>DuckTales</v>
      </c>
      <c r="D12" s="3" t="str">
        <f>INDEX(Disney,INDEX(indices,(4-1)*5+4,48))</f>
        <v>He Mele No Lilo</v>
      </c>
      <c r="E12" s="3" t="str">
        <f>INDEX(Disney,INDEX(indices,(4-1)*5+5,48))</f>
        <v>Hakuna Matata</v>
      </c>
    </row>
    <row r="13" spans="1:5" ht="93" customHeight="1" x14ac:dyDescent="0.25">
      <c r="A13" s="3" t="str">
        <f>INDEX(Disney,INDEX(indices,(5-1)*5+1,48))</f>
        <v>Swissapolka</v>
      </c>
      <c r="B13" s="3" t="str">
        <f>INDEX(Disney,INDEX(indices,(5-1)*5+2,48))</f>
        <v>Why Should I Worry</v>
      </c>
      <c r="C13" s="3" t="str">
        <f>INDEX(Disney,INDEX(indices,(5-1)*5+3,48))</f>
        <v>All Aboard</v>
      </c>
      <c r="D13" s="3" t="str">
        <f>INDEX(Disney,INDEX(indices,(5-1)*5+4,48))</f>
        <v>You'll Be In My Heart</v>
      </c>
      <c r="E13" s="3" t="str">
        <f>INDEX(Disney,INDEX(indices,(5-1)*5+5,48))</f>
        <v>A Whole New World</v>
      </c>
    </row>
    <row r="14" spans="1:5" ht="93" customHeight="1" x14ac:dyDescent="0.25">
      <c r="A14" s="39"/>
      <c r="B14" s="39" t="s">
        <v>213</v>
      </c>
      <c r="C14" s="39" t="s">
        <v>296</v>
      </c>
      <c r="D14" s="39" t="s">
        <v>295</v>
      </c>
      <c r="E14" s="39"/>
    </row>
  </sheetData>
  <mergeCells count="2">
    <mergeCell ref="A1:E1"/>
    <mergeCell ref="A8:E8"/>
  </mergeCells>
  <conditionalFormatting sqref="A2:E6">
    <cfRule type="expression" dxfId="3" priority="2" stopIfTrue="1">
      <formula>LOWER(INDEX(Disney_Played,MATCH(A2,Disney,0)))="x"</formula>
    </cfRule>
  </conditionalFormatting>
  <conditionalFormatting sqref="A9:E13">
    <cfRule type="expression" dxfId="2" priority="1" stopIfTrue="1">
      <formula>LOWER(INDEX(Disney_Played,MATCH(A9,Disney,0)))="x"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39E01-594C-43C7-89BB-47CD0F23D031}">
  <sheetPr codeName="Sheet28"/>
  <dimension ref="A1:E14"/>
  <sheetViews>
    <sheetView workbookViewId="0">
      <selection activeCell="A9" sqref="A9:E13"/>
    </sheetView>
  </sheetViews>
  <sheetFormatPr defaultColWidth="17.7109375" defaultRowHeight="93" customHeight="1" x14ac:dyDescent="0.25"/>
  <sheetData>
    <row r="1" spans="1:5" ht="93" customHeight="1" x14ac:dyDescent="0.25">
      <c r="A1" s="43" t="s">
        <v>230</v>
      </c>
      <c r="B1" s="43"/>
      <c r="C1" s="43"/>
      <c r="D1" s="43"/>
      <c r="E1" s="43"/>
    </row>
    <row r="2" spans="1:5" ht="93" customHeight="1" x14ac:dyDescent="0.25">
      <c r="A2" s="3" t="str">
        <f>INDEX(Disney,INDEX(indices,(1-1)*5+1,49))</f>
        <v>Dig a Little Deeper</v>
      </c>
      <c r="B2" s="3" t="str">
        <f>INDEX(Disney,INDEX(indices,(1-1)*5+2,49))</f>
        <v>Steamboat Willie</v>
      </c>
      <c r="C2" s="3" t="str">
        <f>INDEX(Disney,INDEX(indices,(1-1)*5+3,49))</f>
        <v>The Twilight Zone Tower of Terror</v>
      </c>
      <c r="D2" s="3" t="str">
        <f>INDEX(Disney,INDEX(indices,(1-1)*5+4,49))</f>
        <v>Step In Time</v>
      </c>
      <c r="E2" s="3" t="str">
        <f>INDEX(Disney,INDEX(indices,(1-1)*5+5,49))</f>
        <v>Just Around the Riverbend</v>
      </c>
    </row>
    <row r="3" spans="1:5" ht="93" customHeight="1" x14ac:dyDescent="0.25">
      <c r="A3" s="3" t="str">
        <f>INDEX(Disney,INDEX(indices,(2-1)*5+1,49))</f>
        <v>When You Wish Upon a Star</v>
      </c>
      <c r="B3" s="3" t="str">
        <f>INDEX(Disney,INDEX(indices,(2-1)*5+2,49))</f>
        <v>It's a Small World</v>
      </c>
      <c r="C3" s="3" t="str">
        <f>INDEX(Disney,INDEX(indices,(2-1)*5+3,49))</f>
        <v>How Far I'll Go</v>
      </c>
      <c r="D3" s="3" t="str">
        <f>INDEX(Disney,INDEX(indices,(2-1)*5+4,49))</f>
        <v>Life Is a Highway</v>
      </c>
      <c r="E3" s="3" t="str">
        <f>INDEX(Disney,INDEX(indices,(2-1)*5+5,49))</f>
        <v>Bibbidi-Bobbidi-Boo</v>
      </c>
    </row>
    <row r="4" spans="1:5" ht="93" customHeight="1" x14ac:dyDescent="0.25">
      <c r="A4" s="3" t="str">
        <f>INDEX(Disney,INDEX(indices,(3-1)*5+1,49))</f>
        <v>Hakuna Matata</v>
      </c>
      <c r="B4" s="3" t="str">
        <f>INDEX(Disney,INDEX(indices,(3-1)*5+2,49))</f>
        <v>That's How You Know</v>
      </c>
      <c r="C4" s="3" t="str">
        <f>INDEX(Disney,INDEX(indices,(3-1)*5+3,49))</f>
        <v>Try Everything</v>
      </c>
      <c r="D4" s="3" t="str">
        <f>INDEX(Disney,INDEX(indices,(3-1)*5+4,49))</f>
        <v>Baby Mine</v>
      </c>
      <c r="E4" s="3" t="str">
        <f>INDEX(Disney,INDEX(indices,(3-1)*5+5,49))</f>
        <v>Fantasmic!</v>
      </c>
    </row>
    <row r="5" spans="1:5" ht="93" customHeight="1" x14ac:dyDescent="0.25">
      <c r="A5" s="3" t="str">
        <f>INDEX(Disney,INDEX(indices,(4-1)*5+1,49))</f>
        <v>Let It Go</v>
      </c>
      <c r="B5" s="3" t="str">
        <f>INDEX(Disney,INDEX(indices,(4-1)*5+2,49))</f>
        <v>What's My Name</v>
      </c>
      <c r="C5" s="3" t="str">
        <f>INDEX(Disney,INDEX(indices,(4-1)*5+3,49))</f>
        <v>A Whole New World</v>
      </c>
      <c r="D5" s="3" t="str">
        <f>INDEX(Disney,INDEX(indices,(4-1)*5+4,49))</f>
        <v>After Today</v>
      </c>
      <c r="E5" s="3" t="str">
        <f>INDEX(Disney,INDEX(indices,(4-1)*5+5,49))</f>
        <v>Just Keep Swimming</v>
      </c>
    </row>
    <row r="6" spans="1:5" ht="93" customHeight="1" x14ac:dyDescent="0.25">
      <c r="A6" s="3" t="str">
        <f>INDEX(Disney,INDEX(indices,(5-1)*5+1,49))</f>
        <v>If I Didn't Have You</v>
      </c>
      <c r="B6" s="3" t="str">
        <f>INDEX(Disney,INDEX(indices,(5-1)*5+2,49))</f>
        <v>We're All In This Together</v>
      </c>
      <c r="C6" s="3" t="str">
        <f>INDEX(Disney,INDEX(indices,(5-1)*5+3,49))</f>
        <v>A Guy Like You</v>
      </c>
      <c r="D6" s="3" t="str">
        <f>INDEX(Disney,INDEX(indices,(5-1)*5+4,49))</f>
        <v>Touch the Sky</v>
      </c>
      <c r="E6" s="3" t="str">
        <f>INDEX(Disney,INDEX(indices,(5-1)*5+5,49))</f>
        <v>DuckTales</v>
      </c>
    </row>
    <row r="7" spans="1:5" ht="93" customHeight="1" x14ac:dyDescent="0.25">
      <c r="A7" s="39"/>
      <c r="B7" s="39" t="s">
        <v>214</v>
      </c>
      <c r="C7" s="39" t="s">
        <v>294</v>
      </c>
      <c r="D7" s="39" t="s">
        <v>295</v>
      </c>
      <c r="E7" s="39"/>
    </row>
    <row r="8" spans="1:5" ht="93" customHeight="1" x14ac:dyDescent="0.25">
      <c r="A8" s="43" t="s">
        <v>230</v>
      </c>
      <c r="B8" s="43"/>
      <c r="C8" s="43"/>
      <c r="D8" s="43"/>
      <c r="E8" s="43"/>
    </row>
    <row r="9" spans="1:5" ht="93" customHeight="1" x14ac:dyDescent="0.25">
      <c r="A9" s="3" t="str">
        <f>INDEX(Disney,INDEX(indices,(1-1)*5+1,50))</f>
        <v>Fantasmic!</v>
      </c>
      <c r="B9" s="3" t="str">
        <f>INDEX(Disney,INDEX(indices,(1-1)*5+2,50))</f>
        <v>A Whole New World</v>
      </c>
      <c r="C9" s="3" t="str">
        <f>INDEX(Disney,INDEX(indices,(1-1)*5+3,50))</f>
        <v>Touch the Sky</v>
      </c>
      <c r="D9" s="3" t="str">
        <f>INDEX(Disney,INDEX(indices,(1-1)*5+4,50))</f>
        <v>Love</v>
      </c>
      <c r="E9" s="3" t="str">
        <f>INDEX(Disney,INDEX(indices,(1-1)*5+5,50))</f>
        <v>Dig a Little Deeper</v>
      </c>
    </row>
    <row r="10" spans="1:5" ht="93" customHeight="1" x14ac:dyDescent="0.25">
      <c r="A10" s="3" t="str">
        <f>INDEX(Disney,INDEX(indices,(2-1)*5+1,50))</f>
        <v>Iron Man</v>
      </c>
      <c r="B10" s="3" t="str">
        <f>INDEX(Disney,INDEX(indices,(2-1)*5+2,50))</f>
        <v>When You Wish Upon a Star</v>
      </c>
      <c r="C10" s="3" t="str">
        <f>INDEX(Disney,INDEX(indices,(2-1)*5+3,50))</f>
        <v>Back In the Saddle</v>
      </c>
      <c r="D10" s="3" t="str">
        <f>INDEX(Disney,INDEX(indices,(2-1)*5+4,50))</f>
        <v>One Little Spark</v>
      </c>
      <c r="E10" s="3" t="str">
        <f>INDEX(Disney,INDEX(indices,(2-1)*5+5,50))</f>
        <v>Life Is a Highway</v>
      </c>
    </row>
    <row r="11" spans="1:5" ht="93" customHeight="1" x14ac:dyDescent="0.25">
      <c r="A11" s="3" t="str">
        <f>INDEX(Disney,INDEX(indices,(3-1)*5+1,50))</f>
        <v>Winnie the Pooh</v>
      </c>
      <c r="B11" s="3" t="str">
        <f>INDEX(Disney,INDEX(indices,(3-1)*5+2,50))</f>
        <v>That's the Life</v>
      </c>
      <c r="C11" s="3" t="str">
        <f>INDEX(Disney,INDEX(indices,(3-1)*5+3,50))</f>
        <v>Mickey Mouse Club March</v>
      </c>
      <c r="D11" s="3" t="str">
        <f>INDEX(Disney,INDEX(indices,(3-1)*5+4,50))</f>
        <v>Zero</v>
      </c>
      <c r="E11" s="3" t="str">
        <f>INDEX(Disney,INDEX(indices,(3-1)*5+5,50))</f>
        <v>We're All In This Together</v>
      </c>
    </row>
    <row r="12" spans="1:5" ht="93" customHeight="1" x14ac:dyDescent="0.25">
      <c r="A12" s="3" t="str">
        <f>INDEX(Disney,INDEX(indices,(4-1)*5+1,50))</f>
        <v>You'll Be In My Heart</v>
      </c>
      <c r="B12" s="3" t="str">
        <f>INDEX(Disney,INDEX(indices,(4-1)*5+2,50))</f>
        <v>Hakuna Matata</v>
      </c>
      <c r="C12" s="3" t="str">
        <f>INDEX(Disney,INDEX(indices,(4-1)*5+3,50))</f>
        <v>Flitterin'</v>
      </c>
      <c r="D12" s="3" t="str">
        <f>INDEX(Disney,INDEX(indices,(4-1)*5+4,50))</f>
        <v>After Today</v>
      </c>
      <c r="E12" s="3" t="str">
        <f>INDEX(Disney,INDEX(indices,(4-1)*5+5,50))</f>
        <v>The Imperial March</v>
      </c>
    </row>
    <row r="13" spans="1:5" ht="93" customHeight="1" x14ac:dyDescent="0.25">
      <c r="A13" s="3" t="str">
        <f>INDEX(Disney,INDEX(indices,(5-1)*5+1,50))</f>
        <v>A Pirate's Life</v>
      </c>
      <c r="B13" s="3" t="str">
        <f>INDEX(Disney,INDEX(indices,(5-1)*5+2,50))</f>
        <v>Heigh-Ho</v>
      </c>
      <c r="C13" s="3" t="str">
        <f>INDEX(Disney,INDEX(indices,(5-1)*5+3,50))</f>
        <v>DuckTales</v>
      </c>
      <c r="D13" s="3" t="str">
        <f>INDEX(Disney,INDEX(indices,(5-1)*5+4,50))</f>
        <v>Summer Belongs to You</v>
      </c>
      <c r="E13" s="3" t="str">
        <f>INDEX(Disney,INDEX(indices,(5-1)*5+5,50))</f>
        <v>Just Like Fire</v>
      </c>
    </row>
    <row r="14" spans="1:5" ht="93" customHeight="1" x14ac:dyDescent="0.25">
      <c r="A14" s="39"/>
      <c r="B14" s="39" t="s">
        <v>214</v>
      </c>
      <c r="C14" s="39" t="s">
        <v>296</v>
      </c>
      <c r="D14" s="39" t="s">
        <v>295</v>
      </c>
      <c r="E14" s="39"/>
    </row>
  </sheetData>
  <mergeCells count="2">
    <mergeCell ref="A1:E1"/>
    <mergeCell ref="A8:E8"/>
  </mergeCells>
  <conditionalFormatting sqref="A2:E6">
    <cfRule type="expression" dxfId="1" priority="2" stopIfTrue="1">
      <formula>LOWER(INDEX(Disney_Played,MATCH(A2,Disney,0)))="x"</formula>
    </cfRule>
  </conditionalFormatting>
  <conditionalFormatting sqref="A9:E13">
    <cfRule type="expression" dxfId="0" priority="1" stopIfTrue="1">
      <formula>LOWER(INDEX(Disney_Played,MATCH(A9,Disney,0)))="x"</formula>
    </cfRule>
  </conditionalFormatting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13</vt:i4>
      </vt:variant>
    </vt:vector>
  </HeadingPairs>
  <TitlesOfParts>
    <vt:vector size="42" baseType="lpstr">
      <vt:lpstr>Playlists</vt:lpstr>
      <vt:lpstr>Control</vt:lpstr>
      <vt:lpstr>Board_Template</vt:lpstr>
      <vt:lpstr>DELETE THESE TABS---&gt;</vt:lpstr>
      <vt:lpstr>Person1</vt:lpstr>
      <vt:lpstr>Person2</vt:lpstr>
      <vt:lpstr>Person3</vt:lpstr>
      <vt:lpstr>Person4</vt:lpstr>
      <vt:lpstr>Person5</vt:lpstr>
      <vt:lpstr>Person6</vt:lpstr>
      <vt:lpstr>Person7</vt:lpstr>
      <vt:lpstr>Person8</vt:lpstr>
      <vt:lpstr>Person9</vt:lpstr>
      <vt:lpstr>Person10</vt:lpstr>
      <vt:lpstr>Person11</vt:lpstr>
      <vt:lpstr>Person12</vt:lpstr>
      <vt:lpstr>Person13</vt:lpstr>
      <vt:lpstr>Person14</vt:lpstr>
      <vt:lpstr>Person15</vt:lpstr>
      <vt:lpstr>Person16</vt:lpstr>
      <vt:lpstr>Person17</vt:lpstr>
      <vt:lpstr>Person18</vt:lpstr>
      <vt:lpstr>Person19</vt:lpstr>
      <vt:lpstr>Person20</vt:lpstr>
      <vt:lpstr>Person21</vt:lpstr>
      <vt:lpstr>Person22</vt:lpstr>
      <vt:lpstr>Person23</vt:lpstr>
      <vt:lpstr>Person24</vt:lpstr>
      <vt:lpstr>Person25</vt:lpstr>
      <vt:lpstr>Cards_Per_Round</vt:lpstr>
      <vt:lpstr>Disney</vt:lpstr>
      <vt:lpstr>Disney_Played</vt:lpstr>
      <vt:lpstr>indices</vt:lpstr>
      <vt:lpstr>Num_Players</vt:lpstr>
      <vt:lpstr>Num_Rounds</vt:lpstr>
      <vt:lpstr>Players</vt:lpstr>
      <vt:lpstr>Playlists</vt:lpstr>
      <vt:lpstr>Template</vt:lpstr>
      <vt:lpstr>The_80s</vt:lpstr>
      <vt:lpstr>The_80s_Played</vt:lpstr>
      <vt:lpstr>You</vt:lpstr>
      <vt:lpstr>You_Played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Stroh</dc:creator>
  <cp:lastModifiedBy>Brian Stroh</cp:lastModifiedBy>
  <cp:lastPrinted>2021-02-02T23:56:00Z</cp:lastPrinted>
  <dcterms:created xsi:type="dcterms:W3CDTF">2020-03-30T20:11:24Z</dcterms:created>
  <dcterms:modified xsi:type="dcterms:W3CDTF">2021-02-03T00:18:01Z</dcterms:modified>
</cp:coreProperties>
</file>